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C5BBEA04-B48B-DB03-FC8F-E18A6752861A}"/>
  <workbookPr codeName="ThisWorkbook"/>
  <mc:AlternateContent xmlns:mc="http://schemas.openxmlformats.org/markup-compatibility/2006">
    <mc:Choice Requires="x15">
      <x15ac:absPath xmlns:x15ac="http://schemas.microsoft.com/office/spreadsheetml/2010/11/ac" url="D:\Web関連ドキュメント\圧縮ファイル内容\download(Excelのみ)\MDB(ACCDB)TableDefines1\"/>
    </mc:Choice>
  </mc:AlternateContent>
  <xr:revisionPtr revIDLastSave="0" documentId="13_ncr:1_{F40DA13A-388F-44E6-97FF-359F64AC216D}" xr6:coauthVersionLast="47" xr6:coauthVersionMax="47" xr10:uidLastSave="{00000000-0000-0000-0000-000000000000}"/>
  <bookViews>
    <workbookView xWindow="39300" yWindow="3630" windowWidth="14175" windowHeight="9405" firstSheet="2" activeTab="2" xr2:uid="{00000000-000D-0000-FFFF-FFFF00000000}"/>
  </bookViews>
  <sheets>
    <sheet name="設定" sheetId="2" state="hidden" r:id="rId1"/>
    <sheet name="原紙" sheetId="1" state="hidden" r:id="rId2"/>
    <sheet name="MST_BUSYO" sheetId="3" r:id="rId3"/>
    <sheet name="MST_YAKU" sheetId="6" r:id="rId4"/>
    <sheet name="MST_SYAIN" sheetId="4" r:id="rId5"/>
    <sheet name="MST_HAIZOKU" sheetId="5" r:id="rId6"/>
  </sheets>
  <definedNames>
    <definedName name="_xlnm.Print_Area" localSheetId="2">MST_BUSYO!$A$1:$Q$50</definedName>
    <definedName name="_xlnm.Print_Area" localSheetId="5">MST_HAIZOKU!$A$1:$Q$50</definedName>
    <definedName name="_xlnm.Print_Area" localSheetId="4">MST_SYAIN!$A$1:$Q$50</definedName>
    <definedName name="_xlnm.Print_Area" localSheetId="3">MST_YAKU!$A$1:$Q$50</definedName>
    <definedName name="_xlnm.Print_Area" localSheetId="1">原紙!$A$1:$Q$50</definedName>
    <definedName name="_xlnm.Print_Titles" localSheetId="2">MST_BUSYO!$1:$3</definedName>
    <definedName name="_xlnm.Print_Titles" localSheetId="5">MST_HAIZOKU!$1:$3</definedName>
    <definedName name="_xlnm.Print_Titles" localSheetId="4">MST_SYAIN!$1:$3</definedName>
    <definedName name="_xlnm.Print_Titles" localSheetId="3">MST_YAKU!$1:$3</definedName>
    <definedName name="_xlnm.Print_Titles" localSheetId="1">原紙!$1:$3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2" i="6" l="1"/>
  <c r="S1" i="6"/>
  <c r="R1" i="6"/>
  <c r="S2" i="5"/>
  <c r="S1" i="5"/>
  <c r="R1" i="5"/>
  <c r="S2" i="4"/>
  <c r="S1" i="4"/>
  <c r="R1" i="4"/>
  <c r="S2" i="3"/>
  <c r="S1" i="3"/>
  <c r="R1" i="3"/>
  <c r="S2" i="1" l="1"/>
  <c r="S1" i="1"/>
  <c r="R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井上治</author>
  </authors>
  <commentList>
    <comment ref="A2" authorId="0" shapeId="0" xr:uid="{00000000-0006-0000-0100-000001000000}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 xr:uid="{00000000-0006-0000-0100-000002000000}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 xr:uid="{00000000-0006-0000-0100-000003000000}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 xr:uid="{00000000-0006-0000-0100-000004000000}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井上治</author>
  </authors>
  <commentList>
    <comment ref="A2" authorId="0" shapeId="0" xr:uid="{00000000-0006-0000-0200-000001000000}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 xr:uid="{00000000-0006-0000-0200-000002000000}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 xr:uid="{00000000-0006-0000-0200-000003000000}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 xr:uid="{00000000-0006-0000-0200-000004000000}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井上治</author>
  </authors>
  <commentList>
    <comment ref="A2" authorId="0" shapeId="0" xr:uid="{00000000-0006-0000-0300-000001000000}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 xr:uid="{00000000-0006-0000-0300-000002000000}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 xr:uid="{00000000-0006-0000-0300-000003000000}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 xr:uid="{00000000-0006-0000-0300-000004000000}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井上治</author>
  </authors>
  <commentList>
    <comment ref="A2" authorId="0" shapeId="0" xr:uid="{00000000-0006-0000-0400-000001000000}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 xr:uid="{00000000-0006-0000-0400-000002000000}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 xr:uid="{00000000-0006-0000-0400-000003000000}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 xr:uid="{00000000-0006-0000-0400-000004000000}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井上治</author>
  </authors>
  <commentList>
    <comment ref="A2" authorId="0" shapeId="0" xr:uid="{00000000-0006-0000-0500-000001000000}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 xr:uid="{00000000-0006-0000-0500-000002000000}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 xr:uid="{00000000-0006-0000-0500-000003000000}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 xr:uid="{00000000-0006-0000-0500-000004000000}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sharedStrings.xml><?xml version="1.0" encoding="utf-8"?>
<sst xmlns="http://schemas.openxmlformats.org/spreadsheetml/2006/main" count="257" uniqueCount="106">
  <si>
    <t>項目名称</t>
  </si>
  <si>
    <t>属性</t>
  </si>
  <si>
    <t>項目説明</t>
  </si>
  <si>
    <t>テーブル名</t>
    <phoneticPr fontId="3"/>
  </si>
  <si>
    <t>内 容</t>
    <rPh sb="0" eb="1">
      <t>ウチ</t>
    </rPh>
    <rPh sb="2" eb="3">
      <t>カタチ</t>
    </rPh>
    <phoneticPr fontId="3"/>
  </si>
  <si>
    <t>Pri-
Key</t>
    <phoneticPr fontId="3"/>
  </si>
  <si>
    <t>①</t>
    <phoneticPr fontId="3"/>
  </si>
  <si>
    <t>②</t>
    <phoneticPr fontId="3"/>
  </si>
  <si>
    <t>③</t>
    <phoneticPr fontId="3"/>
  </si>
  <si>
    <t>④</t>
    <phoneticPr fontId="3"/>
  </si>
  <si>
    <t>⑤</t>
    <phoneticPr fontId="3"/>
  </si>
  <si>
    <t>テキスト型</t>
    <rPh sb="4" eb="5">
      <t>カタ</t>
    </rPh>
    <phoneticPr fontId="3"/>
  </si>
  <si>
    <t>メモ型</t>
    <rPh sb="2" eb="3">
      <t>カタ</t>
    </rPh>
    <phoneticPr fontId="3"/>
  </si>
  <si>
    <t>日付/時刻型</t>
    <rPh sb="0" eb="2">
      <t>ヒヅケ</t>
    </rPh>
    <rPh sb="3" eb="5">
      <t>ジコク</t>
    </rPh>
    <rPh sb="5" eb="6">
      <t>カタ</t>
    </rPh>
    <phoneticPr fontId="3"/>
  </si>
  <si>
    <t>通貨型</t>
    <rPh sb="0" eb="2">
      <t>ツウカ</t>
    </rPh>
    <rPh sb="2" eb="3">
      <t>カタ</t>
    </rPh>
    <phoneticPr fontId="3"/>
  </si>
  <si>
    <t>ｵｰﾄﾅﾝﾊﾞｰ型</t>
    <rPh sb="8" eb="9">
      <t>カタ</t>
    </rPh>
    <phoneticPr fontId="3"/>
  </si>
  <si>
    <t>Yes/No型</t>
    <rPh sb="6" eb="7">
      <t>カタ</t>
    </rPh>
    <phoneticPr fontId="3"/>
  </si>
  <si>
    <t>サイズ</t>
    <phoneticPr fontId="3"/>
  </si>
  <si>
    <t>値要求</t>
    <rPh sb="0" eb="1">
      <t>アタイ</t>
    </rPh>
    <rPh sb="1" eb="3">
      <t>ヨウキュウ</t>
    </rPh>
    <phoneticPr fontId="3"/>
  </si>
  <si>
    <t>空文字</t>
    <rPh sb="0" eb="1">
      <t>カラ</t>
    </rPh>
    <rPh sb="1" eb="3">
      <t>モジ</t>
    </rPh>
    <phoneticPr fontId="3"/>
  </si>
  <si>
    <t>バイト型</t>
    <rPh sb="3" eb="4">
      <t>カタ</t>
    </rPh>
    <phoneticPr fontId="3"/>
  </si>
  <si>
    <t>整数型</t>
    <rPh sb="0" eb="2">
      <t>セイスウ</t>
    </rPh>
    <rPh sb="2" eb="3">
      <t>カタ</t>
    </rPh>
    <phoneticPr fontId="3"/>
  </si>
  <si>
    <t>長整数型</t>
    <rPh sb="0" eb="1">
      <t>チョウ</t>
    </rPh>
    <rPh sb="1" eb="3">
      <t>セイスウ</t>
    </rPh>
    <rPh sb="3" eb="4">
      <t>カタ</t>
    </rPh>
    <phoneticPr fontId="3"/>
  </si>
  <si>
    <t>単精度浮動小数点型</t>
    <rPh sb="0" eb="1">
      <t>タン</t>
    </rPh>
    <rPh sb="1" eb="3">
      <t>セイド</t>
    </rPh>
    <rPh sb="3" eb="5">
      <t>フドウ</t>
    </rPh>
    <rPh sb="5" eb="8">
      <t>ショウスウテン</t>
    </rPh>
    <rPh sb="8" eb="9">
      <t>カタ</t>
    </rPh>
    <phoneticPr fontId="3"/>
  </si>
  <si>
    <t>倍精度浮動小数点型</t>
    <rPh sb="0" eb="3">
      <t>バイセイド</t>
    </rPh>
    <rPh sb="3" eb="5">
      <t>フドウ</t>
    </rPh>
    <rPh sb="5" eb="7">
      <t>ショウスウ</t>
    </rPh>
    <rPh sb="7" eb="8">
      <t>テン</t>
    </rPh>
    <rPh sb="8" eb="9">
      <t>カタ</t>
    </rPh>
    <phoneticPr fontId="3"/>
  </si>
  <si>
    <t>-</t>
    <phoneticPr fontId="3"/>
  </si>
  <si>
    <t>はい</t>
    <phoneticPr fontId="3"/>
  </si>
  <si>
    <t>いいえ</t>
    <phoneticPr fontId="3"/>
  </si>
  <si>
    <t>許可</t>
    <rPh sb="0" eb="2">
      <t>キョカ</t>
    </rPh>
    <phoneticPr fontId="3"/>
  </si>
  <si>
    <t>不可</t>
    <rPh sb="0" eb="2">
      <t>フカ</t>
    </rPh>
    <phoneticPr fontId="3"/>
  </si>
  <si>
    <t>属性</t>
    <rPh sb="0" eb="2">
      <t>ゾクセイ</t>
    </rPh>
    <phoneticPr fontId="3"/>
  </si>
  <si>
    <t>数値</t>
    <rPh sb="0" eb="2">
      <t>スウチ</t>
    </rPh>
    <phoneticPr fontId="3"/>
  </si>
  <si>
    <t>○</t>
    <phoneticPr fontId="3"/>
  </si>
  <si>
    <t>×</t>
    <phoneticPr fontId="3"/>
  </si>
  <si>
    <t>※長整数型,インクリメントに限定</t>
    <rPh sb="1" eb="2">
      <t>チョウ</t>
    </rPh>
    <rPh sb="2" eb="4">
      <t>セイスウ</t>
    </rPh>
    <rPh sb="4" eb="5">
      <t>カタ</t>
    </rPh>
    <rPh sb="14" eb="16">
      <t>ゲンテイ</t>
    </rPh>
    <phoneticPr fontId="3"/>
  </si>
  <si>
    <t>値</t>
    <rPh sb="0" eb="1">
      <t>チ</t>
    </rPh>
    <phoneticPr fontId="3"/>
  </si>
  <si>
    <t>表記</t>
    <rPh sb="0" eb="2">
      <t>ヒョウキ</t>
    </rPh>
    <phoneticPr fontId="3"/>
  </si>
  <si>
    <t>dbText</t>
    <phoneticPr fontId="3"/>
  </si>
  <si>
    <t>dbMemo</t>
    <phoneticPr fontId="3"/>
  </si>
  <si>
    <t>dbByte</t>
    <phoneticPr fontId="3"/>
  </si>
  <si>
    <t>dbInteger</t>
    <phoneticPr fontId="3"/>
  </si>
  <si>
    <t>dbLong</t>
    <phoneticPr fontId="3"/>
  </si>
  <si>
    <t>dbSingle</t>
    <phoneticPr fontId="3"/>
  </si>
  <si>
    <t>dbDouble</t>
    <phoneticPr fontId="3"/>
  </si>
  <si>
    <t>dbDate</t>
    <phoneticPr fontId="3"/>
  </si>
  <si>
    <t>dbCurrency</t>
    <phoneticPr fontId="3"/>
  </si>
  <si>
    <t>dbBoolean</t>
    <phoneticPr fontId="3"/>
  </si>
  <si>
    <t>Index</t>
    <phoneticPr fontId="3"/>
  </si>
  <si>
    <t>№</t>
    <phoneticPr fontId="3"/>
  </si>
  <si>
    <t>テーブルID</t>
    <phoneticPr fontId="3"/>
  </si>
  <si>
    <t>○</t>
    <phoneticPr fontId="3"/>
  </si>
  <si>
    <t>サイズ</t>
    <phoneticPr fontId="3"/>
  </si>
  <si>
    <t>メモ</t>
    <phoneticPr fontId="3"/>
  </si>
  <si>
    <t>フィールドID</t>
    <phoneticPr fontId="3"/>
  </si>
  <si>
    <t>部署マスタ</t>
    <rPh sb="0" eb="2">
      <t>ブショ</t>
    </rPh>
    <phoneticPr fontId="3"/>
  </si>
  <si>
    <t>MST_BUSYO</t>
    <phoneticPr fontId="3"/>
  </si>
  <si>
    <t>部署コード</t>
    <rPh sb="0" eb="2">
      <t>ブショ</t>
    </rPh>
    <phoneticPr fontId="3"/>
  </si>
  <si>
    <t>部署名</t>
    <rPh sb="0" eb="2">
      <t>ブショ</t>
    </rPh>
    <rPh sb="2" eb="3">
      <t>ナ</t>
    </rPh>
    <phoneticPr fontId="3"/>
  </si>
  <si>
    <t>BUSYO_CD</t>
  </si>
  <si>
    <t>BUSYO_CD</t>
    <phoneticPr fontId="3"/>
  </si>
  <si>
    <t>BUSYO_NM</t>
    <phoneticPr fontId="3"/>
  </si>
  <si>
    <t>はい</t>
  </si>
  <si>
    <t>社員マスタ</t>
    <rPh sb="0" eb="2">
      <t>シャイン</t>
    </rPh>
    <phoneticPr fontId="3"/>
  </si>
  <si>
    <t>MST_SYAIN</t>
    <phoneticPr fontId="3"/>
  </si>
  <si>
    <t>社員コード</t>
    <rPh sb="0" eb="2">
      <t>シャイン</t>
    </rPh>
    <phoneticPr fontId="3"/>
  </si>
  <si>
    <t>氏名</t>
    <rPh sb="0" eb="2">
      <t>シメイ</t>
    </rPh>
    <phoneticPr fontId="3"/>
  </si>
  <si>
    <t>性別</t>
    <rPh sb="0" eb="2">
      <t>セイベツ</t>
    </rPh>
    <phoneticPr fontId="3"/>
  </si>
  <si>
    <t>生年月日</t>
    <rPh sb="0" eb="2">
      <t>セイネン</t>
    </rPh>
    <rPh sb="2" eb="4">
      <t>ガッピ</t>
    </rPh>
    <phoneticPr fontId="3"/>
  </si>
  <si>
    <t>入社日</t>
    <rPh sb="0" eb="3">
      <t>ニュウシャビ</t>
    </rPh>
    <phoneticPr fontId="3"/>
  </si>
  <si>
    <t>退職日</t>
    <rPh sb="0" eb="3">
      <t>タイショクビ</t>
    </rPh>
    <phoneticPr fontId="3"/>
  </si>
  <si>
    <t>カナ氏名</t>
    <rPh sb="2" eb="4">
      <t>シメイ</t>
    </rPh>
    <phoneticPr fontId="3"/>
  </si>
  <si>
    <t>SCD</t>
  </si>
  <si>
    <t>SCD</t>
    <phoneticPr fontId="3"/>
  </si>
  <si>
    <t>SEX</t>
    <phoneticPr fontId="3"/>
  </si>
  <si>
    <t>SEINEN_YMD</t>
    <phoneticPr fontId="3"/>
  </si>
  <si>
    <t>NYUSYA_YMD</t>
    <phoneticPr fontId="3"/>
  </si>
  <si>
    <t>TAISYOKU_YMD</t>
    <phoneticPr fontId="3"/>
  </si>
  <si>
    <t>男,女</t>
    <rPh sb="0" eb="1">
      <t>オトコ</t>
    </rPh>
    <rPh sb="2" eb="3">
      <t>オンナ</t>
    </rPh>
    <phoneticPr fontId="3"/>
  </si>
  <si>
    <t>いいえ</t>
  </si>
  <si>
    <t>配属マスタ</t>
    <rPh sb="0" eb="2">
      <t>ハイゾク</t>
    </rPh>
    <phoneticPr fontId="3"/>
  </si>
  <si>
    <t>MST_HAIZOKU</t>
    <phoneticPr fontId="3"/>
  </si>
  <si>
    <t>メインキー</t>
    <phoneticPr fontId="3"/>
  </si>
  <si>
    <t>開始日</t>
    <rPh sb="0" eb="3">
      <t>カイシビ</t>
    </rPh>
    <phoneticPr fontId="3"/>
  </si>
  <si>
    <t>KAISHI_YMD</t>
    <phoneticPr fontId="3"/>
  </si>
  <si>
    <t>終了日</t>
    <rPh sb="0" eb="2">
      <t>シュウリョウ</t>
    </rPh>
    <rPh sb="2" eb="3">
      <t>ヒ</t>
    </rPh>
    <phoneticPr fontId="3"/>
  </si>
  <si>
    <t>SYURYO_YMD</t>
    <phoneticPr fontId="3"/>
  </si>
  <si>
    <t>役職コード</t>
    <rPh sb="0" eb="2">
      <t>ヤクショク</t>
    </rPh>
    <phoneticPr fontId="3"/>
  </si>
  <si>
    <t>YAKU_CD</t>
    <phoneticPr fontId="3"/>
  </si>
  <si>
    <t>MST_YAKU</t>
    <phoneticPr fontId="3"/>
  </si>
  <si>
    <t>役職マスタ</t>
    <rPh sb="0" eb="2">
      <t>ヤクショク</t>
    </rPh>
    <phoneticPr fontId="3"/>
  </si>
  <si>
    <t>役職ランク</t>
    <rPh sb="0" eb="2">
      <t>ヤクショク</t>
    </rPh>
    <phoneticPr fontId="3"/>
  </si>
  <si>
    <t>レベル①</t>
    <phoneticPr fontId="3"/>
  </si>
  <si>
    <t>レベル②</t>
    <phoneticPr fontId="3"/>
  </si>
  <si>
    <t>RANK1</t>
    <phoneticPr fontId="3"/>
  </si>
  <si>
    <t>RANK2</t>
    <phoneticPr fontId="3"/>
  </si>
  <si>
    <t>役職名</t>
    <rPh sb="0" eb="2">
      <t>ヤクショク</t>
    </rPh>
    <rPh sb="2" eb="3">
      <t>ナ</t>
    </rPh>
    <phoneticPr fontId="3"/>
  </si>
  <si>
    <t>YAKU_NM</t>
    <phoneticPr fontId="3"/>
  </si>
  <si>
    <t>姓</t>
    <rPh sb="0" eb="1">
      <t>セイ</t>
    </rPh>
    <phoneticPr fontId="3"/>
  </si>
  <si>
    <t>名</t>
    <rPh sb="0" eb="1">
      <t>ナ</t>
    </rPh>
    <phoneticPr fontId="3"/>
  </si>
  <si>
    <t>KANJI_SEI</t>
    <phoneticPr fontId="3"/>
  </si>
  <si>
    <t>KANJI_MEI</t>
    <phoneticPr fontId="3"/>
  </si>
  <si>
    <t>KANA_SEI</t>
    <phoneticPr fontId="3"/>
  </si>
  <si>
    <t>KANA_MEI</t>
    <phoneticPr fontId="3"/>
  </si>
  <si>
    <t>日本語は半角不可</t>
    <rPh sb="0" eb="3">
      <t>ニホンゴ</t>
    </rPh>
    <rPh sb="4" eb="6">
      <t>ハンカク</t>
    </rPh>
    <rPh sb="6" eb="8">
      <t>フカ</t>
    </rPh>
    <phoneticPr fontId="3"/>
  </si>
  <si>
    <t>SampleCorp1.mdb</t>
    <phoneticPr fontId="3"/>
  </si>
  <si>
    <t>C:\Users\inoue\Documents\作業中\HP関連\MDB(ACCDB)TableDefines1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</si>
</sst>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name val="ＭＳ Ｐゴシック"/>
      <family val="3"/>
      <charset val="128"/>
    </font>
    <font>
      <sz val="10"/>
      <name val="ＭＳ ゴシック"/>
      <family val="3"/>
      <charset val="128"/>
    </font>
    <font>
      <sz val="11"/>
      <name val="ＭＳ ゴシック"/>
      <family val="3"/>
      <charset val="128"/>
    </font>
    <font>
      <sz val="6"/>
      <name val="ＭＳ Ｐゴシック"/>
      <family val="3"/>
      <charset val="128"/>
    </font>
    <font>
      <sz val="9"/>
      <color indexed="12"/>
      <name val="ＭＳ ゴシック"/>
      <family val="3"/>
      <charset val="128"/>
    </font>
    <font>
      <sz val="9"/>
      <name val="ＭＳ ゴシック"/>
      <family val="3"/>
      <charset val="128"/>
    </font>
    <font>
      <sz val="9"/>
      <color indexed="9"/>
      <name val="ＭＳ ゴシック"/>
      <family val="3"/>
      <charset val="128"/>
    </font>
    <font>
      <b/>
      <sz val="9"/>
      <color indexed="12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</fills>
  <borders count="18">
    <border>
      <left/>
      <right/>
      <top/>
      <bottom/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</borders>
  <cellStyleXfs count="3">
    <xf numFmtId="0" fontId="0" fillId="0" borderId="0"/>
    <xf numFmtId="0" fontId="1" fillId="0" borderId="0"/>
    <xf numFmtId="0" fontId="2" fillId="0" borderId="0"/>
  </cellStyleXfs>
  <cellXfs count="55">
    <xf numFmtId="0" fontId="0" fillId="0" borderId="0" xfId="0"/>
    <xf numFmtId="0" fontId="6" fillId="0" borderId="0" xfId="0" applyFont="1" applyBorder="1" applyAlignment="1" applyProtection="1">
      <alignment horizontal="left"/>
      <protection hidden="1"/>
    </xf>
    <xf numFmtId="0" fontId="5" fillId="0" borderId="0" xfId="0" applyFont="1" applyBorder="1" applyAlignment="1">
      <alignment horizontal="left"/>
    </xf>
    <xf numFmtId="0" fontId="4" fillId="2" borderId="1" xfId="1" applyFont="1" applyFill="1" applyBorder="1" applyAlignment="1" applyProtection="1">
      <alignment horizontal="center" vertical="top"/>
      <protection hidden="1"/>
    </xf>
    <xf numFmtId="0" fontId="4" fillId="2" borderId="2" xfId="1" applyFont="1" applyFill="1" applyBorder="1" applyAlignment="1" applyProtection="1">
      <alignment horizontal="center" vertical="top"/>
      <protection hidden="1"/>
    </xf>
    <xf numFmtId="0" fontId="4" fillId="2" borderId="3" xfId="1" applyFont="1" applyFill="1" applyBorder="1" applyAlignment="1" applyProtection="1">
      <alignment horizontal="center" vertical="top"/>
      <protection hidden="1"/>
    </xf>
    <xf numFmtId="0" fontId="5" fillId="0" borderId="0" xfId="0" applyFont="1" applyBorder="1"/>
    <xf numFmtId="0" fontId="5" fillId="0" borderId="0" xfId="0" quotePrefix="1" applyFont="1" applyFill="1" applyBorder="1" applyAlignment="1" applyProtection="1">
      <alignment horizontal="right" vertical="top"/>
      <protection locked="0"/>
    </xf>
    <xf numFmtId="0" fontId="5" fillId="0" borderId="0" xfId="2" applyFont="1" applyFill="1" applyBorder="1" applyAlignment="1" applyProtection="1">
      <alignment vertical="top" wrapText="1"/>
      <protection locked="0"/>
    </xf>
    <xf numFmtId="0" fontId="5" fillId="0" borderId="0" xfId="0" applyFont="1" applyFill="1" applyBorder="1" applyAlignment="1" applyProtection="1">
      <alignment horizontal="center" vertical="top"/>
      <protection locked="0"/>
    </xf>
    <xf numFmtId="0" fontId="5" fillId="0" borderId="0" xfId="0" applyFont="1" applyFill="1" applyBorder="1" applyAlignment="1" applyProtection="1">
      <alignment vertical="top" wrapText="1"/>
      <protection locked="0"/>
    </xf>
    <xf numFmtId="0" fontId="5" fillId="0" borderId="0" xfId="0" applyFont="1" applyBorder="1" applyAlignment="1" applyProtection="1">
      <alignment vertical="top"/>
      <protection locked="0"/>
    </xf>
    <xf numFmtId="0" fontId="5" fillId="0" borderId="0" xfId="0" applyFont="1" applyFill="1" applyBorder="1" applyAlignment="1" applyProtection="1">
      <alignment vertical="top"/>
      <protection locked="0"/>
    </xf>
    <xf numFmtId="0" fontId="5" fillId="0" borderId="0" xfId="2" applyFont="1" applyFill="1" applyBorder="1" applyAlignment="1" applyProtection="1">
      <alignment horizontal="left" vertical="top"/>
      <protection locked="0"/>
    </xf>
    <xf numFmtId="0" fontId="5" fillId="0" borderId="0" xfId="0" applyFont="1" applyBorder="1" applyAlignment="1" applyProtection="1">
      <alignment horizontal="center" vertical="top"/>
      <protection locked="0"/>
    </xf>
    <xf numFmtId="0" fontId="5" fillId="0" borderId="0" xfId="0" applyFont="1" applyBorder="1" applyAlignment="1" applyProtection="1">
      <alignment vertical="top" wrapText="1"/>
      <protection locked="0"/>
    </xf>
    <xf numFmtId="0" fontId="5" fillId="0" borderId="0" xfId="0" applyFont="1" applyBorder="1" applyProtection="1">
      <protection locked="0"/>
    </xf>
    <xf numFmtId="0" fontId="5" fillId="0" borderId="0" xfId="0" applyFont="1" applyFill="1" applyBorder="1" applyAlignment="1" applyProtection="1">
      <alignment horizontal="left" vertical="top"/>
      <protection locked="0"/>
    </xf>
    <xf numFmtId="0" fontId="5" fillId="0" borderId="0" xfId="0" applyFont="1" applyBorder="1" applyAlignment="1" applyProtection="1">
      <alignment horizontal="left" vertical="top"/>
      <protection locked="0"/>
    </xf>
    <xf numFmtId="49" fontId="5" fillId="0" borderId="0" xfId="0" applyNumberFormat="1" applyFont="1" applyAlignment="1">
      <alignment horizontal="left"/>
    </xf>
    <xf numFmtId="1" fontId="5" fillId="0" borderId="0" xfId="0" applyNumberFormat="1" applyFont="1" applyAlignment="1"/>
    <xf numFmtId="0" fontId="5" fillId="0" borderId="0" xfId="0" applyNumberFormat="1" applyFont="1" applyAlignment="1"/>
    <xf numFmtId="49" fontId="4" fillId="2" borderId="4" xfId="0" applyNumberFormat="1" applyFont="1" applyFill="1" applyBorder="1" applyAlignment="1">
      <alignment horizontal="center"/>
    </xf>
    <xf numFmtId="1" fontId="4" fillId="2" borderId="4" xfId="0" applyNumberFormat="1" applyFont="1" applyFill="1" applyBorder="1" applyAlignment="1">
      <alignment horizontal="center"/>
    </xf>
    <xf numFmtId="0" fontId="5" fillId="0" borderId="5" xfId="2" applyFont="1" applyFill="1" applyBorder="1" applyAlignment="1" applyProtection="1">
      <alignment horizontal="left" vertical="top"/>
      <protection locked="0"/>
    </xf>
    <xf numFmtId="0" fontId="4" fillId="2" borderId="3" xfId="1" applyFont="1" applyFill="1" applyBorder="1" applyAlignment="1" applyProtection="1">
      <alignment horizontal="center" vertical="top"/>
      <protection hidden="1"/>
    </xf>
    <xf numFmtId="0" fontId="4" fillId="2" borderId="1" xfId="1" applyFont="1" applyFill="1" applyBorder="1" applyAlignment="1" applyProtection="1">
      <alignment horizontal="center" vertical="top"/>
      <protection hidden="1"/>
    </xf>
    <xf numFmtId="0" fontId="4" fillId="2" borderId="2" xfId="1" applyFont="1" applyFill="1" applyBorder="1" applyAlignment="1" applyProtection="1">
      <alignment horizontal="center" vertical="top"/>
      <protection hidden="1"/>
    </xf>
    <xf numFmtId="0" fontId="4" fillId="2" borderId="6" xfId="1" applyFont="1" applyFill="1" applyBorder="1" applyAlignment="1" applyProtection="1">
      <alignment horizontal="center" vertical="top"/>
      <protection hidden="1"/>
    </xf>
    <xf numFmtId="0" fontId="4" fillId="2" borderId="7" xfId="1" applyFont="1" applyFill="1" applyBorder="1" applyAlignment="1" applyProtection="1">
      <alignment horizontal="center" vertical="top"/>
      <protection hidden="1"/>
    </xf>
    <xf numFmtId="0" fontId="4" fillId="2" borderId="3" xfId="1" applyFont="1" applyFill="1" applyBorder="1" applyAlignment="1" applyProtection="1">
      <alignment horizontal="center" vertical="top" wrapText="1"/>
      <protection hidden="1"/>
    </xf>
    <xf numFmtId="0" fontId="4" fillId="2" borderId="8" xfId="1" applyFont="1" applyFill="1" applyBorder="1" applyAlignment="1" applyProtection="1">
      <alignment horizontal="center" vertical="top" wrapText="1"/>
      <protection hidden="1"/>
    </xf>
    <xf numFmtId="0" fontId="5" fillId="0" borderId="0" xfId="0" applyFont="1" applyBorder="1" applyAlignment="1" applyProtection="1">
      <alignment horizontal="left" vertical="top" wrapText="1"/>
      <protection locked="0"/>
    </xf>
    <xf numFmtId="0" fontId="5" fillId="0" borderId="9" xfId="0" applyFont="1" applyBorder="1" applyAlignment="1" applyProtection="1">
      <alignment horizontal="left" vertical="top" wrapText="1"/>
      <protection locked="0"/>
    </xf>
    <xf numFmtId="0" fontId="4" fillId="2" borderId="3" xfId="1" applyFont="1" applyFill="1" applyBorder="1" applyAlignment="1" applyProtection="1">
      <alignment horizontal="center" vertical="top"/>
      <protection hidden="1"/>
    </xf>
    <xf numFmtId="0" fontId="4" fillId="2" borderId="8" xfId="1" applyFont="1" applyFill="1" applyBorder="1" applyAlignment="1" applyProtection="1">
      <alignment horizontal="center" vertical="top"/>
      <protection hidden="1"/>
    </xf>
    <xf numFmtId="0" fontId="4" fillId="2" borderId="1" xfId="1" applyFont="1" applyFill="1" applyBorder="1" applyAlignment="1" applyProtection="1">
      <alignment horizontal="center" vertical="top"/>
      <protection hidden="1"/>
    </xf>
    <xf numFmtId="0" fontId="5" fillId="0" borderId="10" xfId="0" applyFont="1" applyBorder="1" applyAlignment="1" applyProtection="1">
      <alignment horizontal="left" vertical="top" indent="1"/>
      <protection locked="0"/>
    </xf>
    <xf numFmtId="0" fontId="5" fillId="0" borderId="0" xfId="0" applyFont="1" applyBorder="1" applyAlignment="1" applyProtection="1">
      <alignment horizontal="left" vertical="top" indent="1"/>
      <protection locked="0"/>
    </xf>
    <xf numFmtId="0" fontId="5" fillId="0" borderId="11" xfId="0" applyFont="1" applyBorder="1" applyAlignment="1" applyProtection="1">
      <alignment horizontal="left" vertical="top" indent="1"/>
      <protection locked="0"/>
    </xf>
    <xf numFmtId="0" fontId="5" fillId="0" borderId="12" xfId="0" applyFont="1" applyBorder="1" applyAlignment="1" applyProtection="1">
      <alignment horizontal="left" vertical="top" indent="1"/>
      <protection locked="0"/>
    </xf>
    <xf numFmtId="0" fontId="5" fillId="0" borderId="9" xfId="0" applyFont="1" applyBorder="1" applyAlignment="1" applyProtection="1">
      <alignment horizontal="left" vertical="top" indent="1"/>
      <protection locked="0"/>
    </xf>
    <xf numFmtId="0" fontId="5" fillId="0" borderId="13" xfId="0" applyFont="1" applyBorder="1" applyAlignment="1" applyProtection="1">
      <alignment horizontal="left" vertical="top" indent="1"/>
      <protection locked="0"/>
    </xf>
    <xf numFmtId="49" fontId="4" fillId="2" borderId="14" xfId="0" applyNumberFormat="1" applyFont="1" applyFill="1" applyBorder="1" applyAlignment="1" applyProtection="1">
      <alignment horizontal="center" vertical="center"/>
      <protection hidden="1"/>
    </xf>
    <xf numFmtId="49" fontId="4" fillId="2" borderId="15" xfId="0" applyNumberFormat="1" applyFont="1" applyFill="1" applyBorder="1" applyAlignment="1" applyProtection="1">
      <alignment horizontal="center" vertical="center"/>
      <protection hidden="1"/>
    </xf>
    <xf numFmtId="0" fontId="4" fillId="2" borderId="16" xfId="1" applyFont="1" applyFill="1" applyBorder="1" applyAlignment="1" applyProtection="1">
      <alignment horizontal="center" vertical="top" wrapText="1"/>
      <protection hidden="1"/>
    </xf>
    <xf numFmtId="0" fontId="4" fillId="2" borderId="2" xfId="1" applyFont="1" applyFill="1" applyBorder="1" applyAlignment="1" applyProtection="1">
      <alignment horizontal="center" vertical="top"/>
      <protection hidden="1"/>
    </xf>
    <xf numFmtId="0" fontId="4" fillId="2" borderId="16" xfId="0" applyFont="1" applyFill="1" applyBorder="1" applyAlignment="1" applyProtection="1">
      <alignment horizontal="center" vertical="top"/>
      <protection hidden="1"/>
    </xf>
    <xf numFmtId="0" fontId="4" fillId="2" borderId="17" xfId="0" applyFont="1" applyFill="1" applyBorder="1" applyAlignment="1" applyProtection="1">
      <alignment horizontal="center" vertical="top"/>
      <protection hidden="1"/>
    </xf>
    <xf numFmtId="0" fontId="4" fillId="2" borderId="9" xfId="1" applyFont="1" applyFill="1" applyBorder="1" applyAlignment="1" applyProtection="1">
      <alignment horizontal="center" vertical="top"/>
      <protection hidden="1"/>
    </xf>
    <xf numFmtId="0" fontId="4" fillId="2" borderId="13" xfId="1" applyFont="1" applyFill="1" applyBorder="1" applyAlignment="1" applyProtection="1">
      <alignment horizontal="center" vertical="top"/>
      <protection hidden="1"/>
    </xf>
    <xf numFmtId="0" fontId="5" fillId="0" borderId="5" xfId="2" applyFont="1" applyFill="1" applyBorder="1" applyAlignment="1" applyProtection="1">
      <alignment horizontal="left" vertical="top"/>
      <protection locked="0"/>
    </xf>
    <xf numFmtId="0" fontId="5" fillId="0" borderId="0" xfId="2" applyFont="1" applyFill="1" applyBorder="1" applyAlignment="1" applyProtection="1">
      <alignment horizontal="left" vertical="top"/>
      <protection locked="0"/>
    </xf>
    <xf numFmtId="0" fontId="5" fillId="0" borderId="0" xfId="0" applyFont="1" applyFill="1" applyBorder="1" applyAlignment="1" applyProtection="1">
      <alignment vertical="top" wrapText="1"/>
      <protection locked="0"/>
    </xf>
    <xf numFmtId="0" fontId="5" fillId="0" borderId="0" xfId="0" applyFont="1" applyBorder="1" applyAlignment="1" applyProtection="1">
      <alignment horizontal="left" vertical="top"/>
      <protection locked="0"/>
    </xf>
  </cellXfs>
  <cellStyles count="3">
    <cellStyle name="標準" xfId="0" builtinId="0"/>
    <cellStyle name="標準_Entity項目定義" xfId="1" xr:uid="{00000000-0005-0000-0000-000001000000}"/>
    <cellStyle name="標準_項目定義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Q13"/>
  <sheetViews>
    <sheetView workbookViewId="0">
      <pane ySplit="1" topLeftCell="A2" activePane="bottomLeft" state="frozen"/>
      <selection pane="bottomLeft" activeCell="P2" sqref="P2"/>
    </sheetView>
  </sheetViews>
  <sheetFormatPr defaultRowHeight="11.25"/>
  <cols>
    <col min="1" max="1" width="15.875" style="19" customWidth="1"/>
    <col min="2" max="5" width="5.125" style="19" customWidth="1"/>
    <col min="6" max="6" width="26.375" style="19" customWidth="1"/>
    <col min="7" max="7" width="9.625" style="19" customWidth="1"/>
    <col min="8" max="8" width="3.625" style="20" customWidth="1"/>
    <col min="9" max="9" width="3" style="19" customWidth="1"/>
    <col min="10" max="10" width="9" style="19"/>
    <col min="11" max="11" width="4.875" style="20" customWidth="1"/>
    <col min="12" max="12" width="2.875" style="21" customWidth="1"/>
    <col min="13" max="13" width="9" style="19"/>
    <col min="14" max="14" width="4.875" style="20" customWidth="1"/>
    <col min="15" max="16384" width="9" style="19"/>
  </cols>
  <sheetData>
    <row r="1" spans="1:17">
      <c r="A1" s="22" t="s">
        <v>30</v>
      </c>
      <c r="B1" s="22" t="s">
        <v>51</v>
      </c>
      <c r="C1" s="22" t="s">
        <v>31</v>
      </c>
      <c r="D1" s="22" t="s">
        <v>18</v>
      </c>
      <c r="E1" s="22" t="s">
        <v>19</v>
      </c>
      <c r="F1" s="22" t="s">
        <v>52</v>
      </c>
      <c r="G1" s="22" t="s">
        <v>36</v>
      </c>
      <c r="H1" s="23" t="s">
        <v>35</v>
      </c>
      <c r="J1" s="22" t="s">
        <v>18</v>
      </c>
      <c r="K1" s="23" t="s">
        <v>35</v>
      </c>
      <c r="M1" s="22" t="s">
        <v>19</v>
      </c>
      <c r="N1" s="23" t="s">
        <v>35</v>
      </c>
    </row>
    <row r="2" spans="1:17">
      <c r="A2" s="19" t="s">
        <v>11</v>
      </c>
      <c r="B2" s="19" t="s">
        <v>50</v>
      </c>
      <c r="G2" s="19" t="s">
        <v>37</v>
      </c>
      <c r="H2" s="20">
        <v>10</v>
      </c>
      <c r="J2" s="19" t="s">
        <v>25</v>
      </c>
      <c r="M2" s="19" t="s">
        <v>25</v>
      </c>
      <c r="P2" s="19" t="s">
        <v>104</v>
      </c>
      <c r="Q2" s="19" t="s">
        <v>105</v>
      </c>
    </row>
    <row r="3" spans="1:17">
      <c r="A3" s="19" t="s">
        <v>12</v>
      </c>
      <c r="G3" s="19" t="s">
        <v>38</v>
      </c>
      <c r="H3" s="20">
        <v>12</v>
      </c>
      <c r="J3" s="19" t="s">
        <v>26</v>
      </c>
      <c r="K3" s="20" t="b">
        <v>1</v>
      </c>
      <c r="M3" s="19" t="s">
        <v>28</v>
      </c>
      <c r="N3" s="20" t="b">
        <v>1</v>
      </c>
    </row>
    <row r="4" spans="1:17">
      <c r="A4" s="18" t="s">
        <v>20</v>
      </c>
      <c r="C4" s="19" t="s">
        <v>32</v>
      </c>
      <c r="E4" s="19" t="s">
        <v>33</v>
      </c>
      <c r="G4" s="19" t="s">
        <v>39</v>
      </c>
      <c r="H4" s="20">
        <v>2</v>
      </c>
      <c r="J4" s="19" t="s">
        <v>27</v>
      </c>
      <c r="K4" s="20" t="b">
        <v>0</v>
      </c>
      <c r="M4" s="19" t="s">
        <v>29</v>
      </c>
      <c r="N4" s="20" t="b">
        <v>0</v>
      </c>
    </row>
    <row r="5" spans="1:17">
      <c r="A5" s="18" t="s">
        <v>21</v>
      </c>
      <c r="C5" s="19" t="s">
        <v>32</v>
      </c>
      <c r="E5" s="19" t="s">
        <v>33</v>
      </c>
      <c r="G5" s="19" t="s">
        <v>40</v>
      </c>
      <c r="H5" s="20">
        <v>3</v>
      </c>
    </row>
    <row r="6" spans="1:17">
      <c r="A6" s="18" t="s">
        <v>22</v>
      </c>
      <c r="C6" s="19" t="s">
        <v>32</v>
      </c>
      <c r="E6" s="19" t="s">
        <v>33</v>
      </c>
      <c r="G6" s="19" t="s">
        <v>41</v>
      </c>
      <c r="H6" s="20">
        <v>4</v>
      </c>
    </row>
    <row r="7" spans="1:17">
      <c r="A7" s="18" t="s">
        <v>23</v>
      </c>
      <c r="C7" s="19" t="s">
        <v>32</v>
      </c>
      <c r="E7" s="19" t="s">
        <v>33</v>
      </c>
      <c r="G7" s="19" t="s">
        <v>42</v>
      </c>
      <c r="H7" s="20">
        <v>6</v>
      </c>
    </row>
    <row r="8" spans="1:17">
      <c r="A8" s="18" t="s">
        <v>24</v>
      </c>
      <c r="C8" s="19" t="s">
        <v>32</v>
      </c>
      <c r="E8" s="19" t="s">
        <v>33</v>
      </c>
      <c r="G8" s="19" t="s">
        <v>43</v>
      </c>
      <c r="H8" s="20">
        <v>7</v>
      </c>
    </row>
    <row r="9" spans="1:17">
      <c r="A9" s="17" t="s">
        <v>13</v>
      </c>
      <c r="D9" s="19" t="s">
        <v>33</v>
      </c>
      <c r="E9" s="19" t="s">
        <v>33</v>
      </c>
      <c r="G9" s="19" t="s">
        <v>44</v>
      </c>
      <c r="H9" s="20">
        <v>8</v>
      </c>
    </row>
    <row r="10" spans="1:17">
      <c r="A10" s="17" t="s">
        <v>14</v>
      </c>
      <c r="E10" s="19" t="s">
        <v>33</v>
      </c>
      <c r="G10" s="19" t="s">
        <v>45</v>
      </c>
      <c r="H10" s="20">
        <v>5</v>
      </c>
    </row>
    <row r="11" spans="1:17">
      <c r="A11" s="17" t="s">
        <v>15</v>
      </c>
      <c r="D11" s="19" t="s">
        <v>33</v>
      </c>
      <c r="E11" s="19" t="s">
        <v>33</v>
      </c>
      <c r="F11" s="19" t="s">
        <v>34</v>
      </c>
      <c r="G11" s="19" t="s">
        <v>41</v>
      </c>
      <c r="H11" s="20">
        <v>4</v>
      </c>
    </row>
    <row r="12" spans="1:17">
      <c r="A12" s="17" t="s">
        <v>16</v>
      </c>
      <c r="E12" s="19" t="s">
        <v>33</v>
      </c>
      <c r="G12" s="19" t="s">
        <v>46</v>
      </c>
      <c r="H12" s="20">
        <v>1</v>
      </c>
    </row>
    <row r="13" spans="1:17">
      <c r="A13" s="17"/>
    </row>
  </sheetData>
  <phoneticPr fontId="3"/>
  <printOptions gridLines="1"/>
  <pageMargins left="0.75" right="0.75" top="1" bottom="1" header="0.51200000000000001" footer="0.51200000000000001"/>
  <pageSetup paperSize="9" orientation="landscape" verticalDpi="0" r:id="rId1"/>
  <headerFooter alignWithMargins="0">
    <oddHeader>&amp;C&amp;A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S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" sqref="A4"/>
    </sheetView>
  </sheetViews>
  <sheetFormatPr defaultColWidth="15.625" defaultRowHeight="11.2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11" width="2.625" style="14" customWidth="1"/>
    <col min="12" max="12" width="8.75" style="18" customWidth="1"/>
    <col min="13" max="13" width="5.625" style="14" customWidth="1"/>
    <col min="14" max="14" width="5.375" style="14" customWidth="1"/>
    <col min="15" max="15" width="5.5" style="14" customWidth="1"/>
    <col min="16" max="16" width="25.75" style="15" customWidth="1"/>
    <col min="17" max="17" width="26.625" style="15" customWidth="1"/>
    <col min="18" max="16384" width="15.625" style="16"/>
  </cols>
  <sheetData>
    <row r="1" spans="1:19" s="2" customFormat="1">
      <c r="A1" s="49" t="s">
        <v>3</v>
      </c>
      <c r="B1" s="50"/>
      <c r="C1" s="37"/>
      <c r="D1" s="38"/>
      <c r="E1" s="38"/>
      <c r="F1" s="38"/>
      <c r="G1" s="38"/>
      <c r="H1" s="38"/>
      <c r="I1" s="38"/>
      <c r="J1" s="38"/>
      <c r="K1" s="39"/>
      <c r="L1" s="43" t="s">
        <v>4</v>
      </c>
      <c r="M1" s="32"/>
      <c r="N1" s="32"/>
      <c r="O1" s="32"/>
      <c r="P1" s="32"/>
      <c r="Q1" s="32"/>
      <c r="R1" s="1" t="str">
        <f>"設定!R2C1:R"&amp;COUNTA(設定!$A:$A)&amp;"C1"</f>
        <v>設定!R2C1:R12C1</v>
      </c>
      <c r="S1" s="1" t="str">
        <f>"設定!R2C10:R"&amp;COUNTA(設定!$J:$J)&amp;"C10"</f>
        <v>設定!R2C10:R4C10</v>
      </c>
    </row>
    <row r="2" spans="1:19" s="2" customFormat="1" ht="11.25" customHeight="1">
      <c r="A2" s="28" t="s">
        <v>49</v>
      </c>
      <c r="B2" s="29"/>
      <c r="C2" s="40"/>
      <c r="D2" s="41"/>
      <c r="E2" s="42"/>
      <c r="F2" s="45" t="s">
        <v>5</v>
      </c>
      <c r="G2" s="47" t="s">
        <v>47</v>
      </c>
      <c r="H2" s="47"/>
      <c r="I2" s="47"/>
      <c r="J2" s="47"/>
      <c r="K2" s="48"/>
      <c r="L2" s="44"/>
      <c r="M2" s="33"/>
      <c r="N2" s="33"/>
      <c r="O2" s="33"/>
      <c r="P2" s="33"/>
      <c r="Q2" s="33"/>
      <c r="R2" s="1"/>
      <c r="S2" s="1" t="str">
        <f>"設定!R2C13:R"&amp;COUNTA(設定!$M:$M)&amp;"C13"</f>
        <v>設定!R2C13:R4C13</v>
      </c>
    </row>
    <row r="3" spans="1:19" s="6" customFormat="1" ht="11.25" customHeight="1">
      <c r="A3" s="3" t="s">
        <v>48</v>
      </c>
      <c r="B3" s="34" t="s">
        <v>0</v>
      </c>
      <c r="C3" s="35"/>
      <c r="D3" s="36"/>
      <c r="E3" s="5" t="s">
        <v>53</v>
      </c>
      <c r="F3" s="46"/>
      <c r="G3" s="4" t="s">
        <v>6</v>
      </c>
      <c r="H3" s="4" t="s">
        <v>7</v>
      </c>
      <c r="I3" s="4" t="s">
        <v>8</v>
      </c>
      <c r="J3" s="4" t="s">
        <v>9</v>
      </c>
      <c r="K3" s="4" t="s">
        <v>10</v>
      </c>
      <c r="L3" s="4" t="s">
        <v>1</v>
      </c>
      <c r="M3" s="4" t="s">
        <v>17</v>
      </c>
      <c r="N3" s="4" t="s">
        <v>18</v>
      </c>
      <c r="O3" s="4" t="s">
        <v>19</v>
      </c>
      <c r="P3" s="30" t="s">
        <v>2</v>
      </c>
      <c r="Q3" s="31"/>
    </row>
    <row r="4" spans="1:19" s="11" customFormat="1" ht="11.25" customHeight="1">
      <c r="A4" s="7"/>
      <c r="B4" s="24"/>
      <c r="C4" s="13"/>
      <c r="D4" s="13"/>
      <c r="E4" s="8"/>
      <c r="F4" s="9"/>
      <c r="G4" s="9"/>
      <c r="H4" s="9"/>
      <c r="I4" s="9"/>
      <c r="J4" s="9"/>
      <c r="K4" s="9"/>
      <c r="L4" s="17"/>
      <c r="M4" s="9"/>
      <c r="N4" s="9"/>
      <c r="O4" s="9"/>
      <c r="P4" s="10"/>
      <c r="Q4" s="10"/>
    </row>
    <row r="5" spans="1:19" s="11" customFormat="1">
      <c r="A5" s="12"/>
      <c r="B5" s="13"/>
      <c r="C5" s="13"/>
      <c r="D5" s="13"/>
      <c r="E5" s="8"/>
      <c r="F5" s="9"/>
      <c r="G5" s="9"/>
      <c r="H5" s="9"/>
      <c r="I5" s="9"/>
      <c r="J5" s="9"/>
      <c r="K5" s="9"/>
      <c r="L5" s="17"/>
      <c r="M5" s="9"/>
      <c r="N5" s="9"/>
      <c r="O5" s="9"/>
      <c r="P5" s="10"/>
      <c r="Q5" s="10"/>
    </row>
    <row r="6" spans="1:19" s="11" customFormat="1">
      <c r="A6" s="12"/>
      <c r="B6" s="13"/>
      <c r="C6" s="13"/>
      <c r="D6" s="13"/>
      <c r="E6" s="8"/>
      <c r="F6" s="9"/>
      <c r="G6" s="9"/>
      <c r="H6" s="9"/>
      <c r="I6" s="9"/>
      <c r="J6" s="9"/>
      <c r="K6" s="9"/>
      <c r="L6" s="17"/>
      <c r="M6" s="9"/>
      <c r="N6" s="9"/>
      <c r="O6" s="9"/>
      <c r="P6" s="10"/>
      <c r="Q6" s="10"/>
    </row>
    <row r="7" spans="1:19" s="11" customFormat="1">
      <c r="A7" s="12"/>
      <c r="B7" s="13"/>
      <c r="C7" s="13"/>
      <c r="D7" s="13"/>
      <c r="E7" s="8"/>
      <c r="F7" s="9"/>
      <c r="G7" s="9"/>
      <c r="H7" s="9"/>
      <c r="I7" s="9"/>
      <c r="J7" s="9"/>
      <c r="K7" s="9"/>
      <c r="L7" s="17"/>
      <c r="M7" s="9"/>
      <c r="N7" s="9"/>
      <c r="O7" s="9"/>
      <c r="P7" s="10"/>
      <c r="Q7" s="10"/>
    </row>
    <row r="8" spans="1:19" s="11" customFormat="1">
      <c r="A8" s="12"/>
      <c r="B8" s="13"/>
      <c r="C8" s="13"/>
      <c r="D8" s="13"/>
      <c r="E8" s="8"/>
      <c r="F8" s="9"/>
      <c r="G8" s="9"/>
      <c r="H8" s="9"/>
      <c r="I8" s="9"/>
      <c r="J8" s="9"/>
      <c r="K8" s="9"/>
      <c r="L8" s="17"/>
      <c r="M8" s="9"/>
      <c r="N8" s="9"/>
      <c r="O8" s="9"/>
      <c r="P8" s="10"/>
      <c r="Q8" s="10"/>
    </row>
    <row r="9" spans="1:19" s="11" customFormat="1">
      <c r="A9" s="12"/>
      <c r="B9" s="13"/>
      <c r="C9" s="13"/>
      <c r="D9" s="13"/>
      <c r="E9" s="8"/>
      <c r="F9" s="9"/>
      <c r="G9" s="9"/>
      <c r="H9" s="9"/>
      <c r="I9" s="9"/>
      <c r="J9" s="9"/>
      <c r="K9" s="9"/>
      <c r="L9" s="17"/>
      <c r="M9" s="9"/>
      <c r="N9" s="9"/>
      <c r="O9" s="9"/>
      <c r="P9" s="10"/>
      <c r="Q9" s="10"/>
    </row>
    <row r="10" spans="1:19" s="11" customFormat="1" ht="11.25" customHeight="1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17"/>
      <c r="M10" s="9"/>
      <c r="N10" s="9"/>
      <c r="O10" s="9"/>
      <c r="P10" s="10"/>
      <c r="Q10" s="10"/>
    </row>
    <row r="11" spans="1:19" s="11" customFormat="1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17"/>
      <c r="M11" s="9"/>
      <c r="N11" s="9"/>
      <c r="O11" s="9"/>
      <c r="P11" s="10"/>
      <c r="Q11" s="10"/>
    </row>
    <row r="12" spans="1:19" s="11" customFormat="1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17"/>
      <c r="M12" s="9"/>
      <c r="N12" s="9"/>
      <c r="O12" s="9"/>
      <c r="P12" s="10"/>
      <c r="Q12" s="10"/>
    </row>
    <row r="13" spans="1:19" s="11" customFormat="1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17"/>
      <c r="M13" s="9"/>
      <c r="N13" s="9"/>
      <c r="O13" s="9"/>
      <c r="P13" s="10"/>
      <c r="Q13" s="10"/>
    </row>
    <row r="14" spans="1:19" s="11" customFormat="1">
      <c r="A14" s="12"/>
      <c r="B14" s="13"/>
      <c r="C14" s="18"/>
      <c r="D14" s="18"/>
      <c r="F14" s="14"/>
      <c r="G14" s="14"/>
      <c r="H14" s="14"/>
      <c r="I14" s="14"/>
      <c r="J14" s="14"/>
      <c r="K14" s="14"/>
      <c r="L14" s="18"/>
      <c r="M14" s="14"/>
      <c r="N14" s="14"/>
      <c r="O14" s="14"/>
      <c r="P14" s="15"/>
      <c r="Q14" s="15"/>
    </row>
    <row r="15" spans="1:19" s="11" customFormat="1">
      <c r="A15" s="12"/>
      <c r="B15" s="13"/>
      <c r="C15" s="18"/>
      <c r="D15" s="18"/>
      <c r="F15" s="14"/>
      <c r="G15" s="14"/>
      <c r="H15" s="14"/>
      <c r="I15" s="14"/>
      <c r="J15" s="14"/>
      <c r="K15" s="14"/>
      <c r="L15" s="18"/>
      <c r="M15" s="14"/>
      <c r="N15" s="14"/>
      <c r="O15" s="14"/>
      <c r="P15" s="15"/>
      <c r="Q15" s="15"/>
    </row>
    <row r="16" spans="1:19" s="11" customFormat="1">
      <c r="A16" s="12"/>
      <c r="B16" s="13"/>
      <c r="C16" s="18"/>
      <c r="D16" s="18"/>
      <c r="F16" s="14"/>
      <c r="G16" s="14"/>
      <c r="H16" s="14"/>
      <c r="I16" s="14"/>
      <c r="J16" s="14"/>
      <c r="K16" s="14"/>
      <c r="L16" s="18"/>
      <c r="M16" s="14"/>
      <c r="N16" s="14"/>
      <c r="O16" s="14"/>
      <c r="P16" s="15"/>
      <c r="Q16" s="15"/>
    </row>
    <row r="17" spans="2:17" s="11" customFormat="1">
      <c r="B17" s="18"/>
      <c r="C17" s="18"/>
      <c r="D17" s="18"/>
      <c r="F17" s="14"/>
      <c r="G17" s="14"/>
      <c r="H17" s="14"/>
      <c r="I17" s="14"/>
      <c r="J17" s="14"/>
      <c r="K17" s="14"/>
      <c r="L17" s="18"/>
      <c r="M17" s="14"/>
      <c r="N17" s="14"/>
      <c r="O17" s="14"/>
      <c r="P17" s="15"/>
      <c r="Q17" s="15"/>
    </row>
    <row r="18" spans="2:17" s="11" customFormat="1">
      <c r="B18" s="18"/>
      <c r="C18" s="18"/>
      <c r="D18" s="18"/>
      <c r="F18" s="14"/>
      <c r="G18" s="14"/>
      <c r="H18" s="14"/>
      <c r="I18" s="14"/>
      <c r="J18" s="14"/>
      <c r="K18" s="14"/>
      <c r="L18" s="18"/>
      <c r="M18" s="14"/>
      <c r="N18" s="14"/>
      <c r="O18" s="14"/>
      <c r="P18" s="15"/>
      <c r="Q18" s="15"/>
    </row>
    <row r="19" spans="2:17" s="11" customFormat="1">
      <c r="B19" s="18"/>
      <c r="C19" s="18"/>
      <c r="D19" s="18"/>
      <c r="F19" s="14"/>
      <c r="G19" s="14"/>
      <c r="H19" s="14"/>
      <c r="I19" s="14"/>
      <c r="J19" s="14"/>
      <c r="K19" s="14"/>
      <c r="L19" s="18"/>
      <c r="M19" s="14"/>
      <c r="N19" s="14"/>
      <c r="O19" s="14"/>
      <c r="P19" s="15"/>
      <c r="Q19" s="15"/>
    </row>
    <row r="20" spans="2:17" s="11" customFormat="1">
      <c r="B20" s="18"/>
      <c r="C20" s="18"/>
      <c r="D20" s="18"/>
      <c r="F20" s="14"/>
      <c r="G20" s="14"/>
      <c r="H20" s="14"/>
      <c r="I20" s="14"/>
      <c r="J20" s="14"/>
      <c r="K20" s="14"/>
      <c r="L20" s="18"/>
      <c r="M20" s="14"/>
      <c r="N20" s="14"/>
      <c r="O20" s="14"/>
      <c r="P20" s="15"/>
      <c r="Q20" s="15"/>
    </row>
    <row r="21" spans="2:17" s="11" customFormat="1">
      <c r="B21" s="18"/>
      <c r="C21" s="18"/>
      <c r="D21" s="18"/>
      <c r="F21" s="14"/>
      <c r="G21" s="14"/>
      <c r="H21" s="14"/>
      <c r="I21" s="14"/>
      <c r="J21" s="14"/>
      <c r="K21" s="14"/>
      <c r="L21" s="18"/>
      <c r="M21" s="14"/>
      <c r="N21" s="14"/>
      <c r="O21" s="14"/>
      <c r="P21" s="15"/>
      <c r="Q21" s="15"/>
    </row>
    <row r="23" spans="2:17">
      <c r="L23" s="17"/>
    </row>
  </sheetData>
  <mergeCells count="10">
    <mergeCell ref="A2:B2"/>
    <mergeCell ref="P3:Q3"/>
    <mergeCell ref="M1:Q2"/>
    <mergeCell ref="B3:D3"/>
    <mergeCell ref="C1:K1"/>
    <mergeCell ref="C2:E2"/>
    <mergeCell ref="L1:L2"/>
    <mergeCell ref="F2:F3"/>
    <mergeCell ref="G2:K2"/>
    <mergeCell ref="A1:B1"/>
  </mergeCells>
  <phoneticPr fontId="3"/>
  <dataValidations count="6">
    <dataValidation imeMode="off" allowBlank="1" showInputMessage="1" showErrorMessage="1" sqref="A1:A1048576 E3:E65536" xr:uid="{00000000-0002-0000-0100-000000000000}"/>
    <dataValidation imeMode="on" allowBlank="1" showInputMessage="1" showErrorMessage="1" sqref="M1:Q2 B9 B10:D65536 B1:B4 P4:P65536 Q4:Q65536 C1:K1 C3:D9" xr:uid="{00000000-0002-0000-0100-000001000000}"/>
    <dataValidation type="list" allowBlank="1" showInputMessage="1" showErrorMessage="1" sqref="L4:L65536" xr:uid="{00000000-0002-0000-0100-000002000000}">
      <formula1>INDIRECT($R$1,FALSE)</formula1>
    </dataValidation>
    <dataValidation type="list" allowBlank="1" showInputMessage="1" showErrorMessage="1" sqref="O4:O65536" xr:uid="{00000000-0002-0000-0100-000003000000}">
      <formula1>INDIRECT($S$2,FALSE)</formula1>
    </dataValidation>
    <dataValidation type="list" imeMode="on" allowBlank="1" showInputMessage="1" showErrorMessage="1" sqref="N4:N65536" xr:uid="{00000000-0002-0000-0100-000004000000}">
      <formula1>INDIRECT($S$1,FALSE)</formula1>
    </dataValidation>
    <dataValidation type="whole" imeMode="off" operator="greaterThanOrEqual" allowBlank="1" showInputMessage="1" showErrorMessage="1" sqref="G2:K65536 M3:M65536 F2:F65536" xr:uid="{00000000-0002-0000-0100-000005000000}">
      <formula1>1</formula1>
    </dataValidation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S23"/>
  <sheetViews>
    <sheetView tabSelected="1"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" sqref="A4"/>
    </sheetView>
  </sheetViews>
  <sheetFormatPr defaultColWidth="15.625" defaultRowHeight="11.2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11" width="2.625" style="14" customWidth="1"/>
    <col min="12" max="12" width="8.75" style="18" customWidth="1"/>
    <col min="13" max="13" width="5.625" style="14" customWidth="1"/>
    <col min="14" max="14" width="5.375" style="14" customWidth="1"/>
    <col min="15" max="15" width="5.5" style="14" customWidth="1"/>
    <col min="16" max="16" width="25.75" style="15" customWidth="1"/>
    <col min="17" max="17" width="26.625" style="15" customWidth="1"/>
    <col min="18" max="16384" width="15.625" style="16"/>
  </cols>
  <sheetData>
    <row r="1" spans="1:19" s="2" customFormat="1">
      <c r="A1" s="49" t="s">
        <v>3</v>
      </c>
      <c r="B1" s="50"/>
      <c r="C1" s="37" t="s">
        <v>54</v>
      </c>
      <c r="D1" s="38"/>
      <c r="E1" s="38"/>
      <c r="F1" s="38"/>
      <c r="G1" s="38"/>
      <c r="H1" s="38"/>
      <c r="I1" s="38"/>
      <c r="J1" s="38"/>
      <c r="K1" s="39"/>
      <c r="L1" s="43" t="s">
        <v>4</v>
      </c>
      <c r="M1" s="32"/>
      <c r="N1" s="32"/>
      <c r="O1" s="32"/>
      <c r="P1" s="32"/>
      <c r="Q1" s="32"/>
      <c r="R1" s="1" t="str">
        <f>"設定!R2C1:R"&amp;COUNTA(設定!$A:$A)&amp;"C1"</f>
        <v>設定!R2C1:R12C1</v>
      </c>
      <c r="S1" s="1" t="str">
        <f>"設定!R2C10:R"&amp;COUNTA(設定!$J:$J)&amp;"C10"</f>
        <v>設定!R2C10:R4C10</v>
      </c>
    </row>
    <row r="2" spans="1:19" s="2" customFormat="1" ht="11.25" customHeight="1">
      <c r="A2" s="28" t="s">
        <v>49</v>
      </c>
      <c r="B2" s="29"/>
      <c r="C2" s="40" t="s">
        <v>55</v>
      </c>
      <c r="D2" s="41"/>
      <c r="E2" s="42"/>
      <c r="F2" s="45" t="s">
        <v>5</v>
      </c>
      <c r="G2" s="47" t="s">
        <v>47</v>
      </c>
      <c r="H2" s="47"/>
      <c r="I2" s="47"/>
      <c r="J2" s="47"/>
      <c r="K2" s="48"/>
      <c r="L2" s="44"/>
      <c r="M2" s="33"/>
      <c r="N2" s="33"/>
      <c r="O2" s="33"/>
      <c r="P2" s="33"/>
      <c r="Q2" s="33"/>
      <c r="R2" s="1"/>
      <c r="S2" s="1" t="str">
        <f>"設定!R2C13:R"&amp;COUNTA(設定!$M:$M)&amp;"C13"</f>
        <v>設定!R2C13:R4C13</v>
      </c>
    </row>
    <row r="3" spans="1:19" s="6" customFormat="1" ht="11.25" customHeight="1">
      <c r="A3" s="26" t="s">
        <v>48</v>
      </c>
      <c r="B3" s="34" t="s">
        <v>0</v>
      </c>
      <c r="C3" s="35"/>
      <c r="D3" s="36"/>
      <c r="E3" s="25" t="s">
        <v>53</v>
      </c>
      <c r="F3" s="46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 t="s">
        <v>1</v>
      </c>
      <c r="M3" s="27" t="s">
        <v>17</v>
      </c>
      <c r="N3" s="27" t="s">
        <v>18</v>
      </c>
      <c r="O3" s="27" t="s">
        <v>19</v>
      </c>
      <c r="P3" s="30" t="s">
        <v>2</v>
      </c>
      <c r="Q3" s="31"/>
    </row>
    <row r="4" spans="1:19" s="11" customFormat="1" ht="11.25" customHeight="1">
      <c r="A4" s="7">
        <v>1</v>
      </c>
      <c r="B4" s="51" t="s">
        <v>56</v>
      </c>
      <c r="C4" s="51"/>
      <c r="D4" s="51"/>
      <c r="E4" s="8" t="s">
        <v>59</v>
      </c>
      <c r="F4" s="9">
        <v>1</v>
      </c>
      <c r="G4" s="9"/>
      <c r="H4" s="9"/>
      <c r="I4" s="9"/>
      <c r="J4" s="9"/>
      <c r="K4" s="9"/>
      <c r="L4" s="17" t="s">
        <v>11</v>
      </c>
      <c r="M4" s="9">
        <v>20</v>
      </c>
      <c r="N4" s="9" t="s">
        <v>61</v>
      </c>
      <c r="O4" s="9" t="s">
        <v>29</v>
      </c>
      <c r="P4" s="10"/>
      <c r="Q4" s="10"/>
    </row>
    <row r="5" spans="1:19" s="11" customFormat="1">
      <c r="A5" s="12">
        <v>2</v>
      </c>
      <c r="B5" s="52" t="s">
        <v>57</v>
      </c>
      <c r="C5" s="52"/>
      <c r="D5" s="52"/>
      <c r="E5" s="8" t="s">
        <v>60</v>
      </c>
      <c r="F5" s="9"/>
      <c r="G5" s="9"/>
      <c r="H5" s="9"/>
      <c r="I5" s="9"/>
      <c r="J5" s="9"/>
      <c r="K5" s="9"/>
      <c r="L5" s="17" t="s">
        <v>11</v>
      </c>
      <c r="M5" s="9">
        <v>100</v>
      </c>
      <c r="N5" s="9" t="s">
        <v>61</v>
      </c>
      <c r="O5" s="9" t="s">
        <v>29</v>
      </c>
      <c r="P5" s="10"/>
      <c r="Q5" s="10"/>
    </row>
    <row r="6" spans="1:19" s="11" customFormat="1">
      <c r="A6" s="12"/>
      <c r="B6" s="13"/>
      <c r="C6" s="13"/>
      <c r="D6" s="13"/>
      <c r="E6" s="8"/>
      <c r="F6" s="9"/>
      <c r="G6" s="9"/>
      <c r="H6" s="9"/>
      <c r="I6" s="9"/>
      <c r="J6" s="9"/>
      <c r="K6" s="9"/>
      <c r="L6" s="17"/>
      <c r="M6" s="9"/>
      <c r="N6" s="9"/>
      <c r="O6" s="9"/>
      <c r="P6" s="10"/>
      <c r="Q6" s="10"/>
    </row>
    <row r="7" spans="1:19" s="11" customFormat="1">
      <c r="A7" s="12"/>
      <c r="B7" s="13"/>
      <c r="C7" s="13"/>
      <c r="D7" s="13"/>
      <c r="E7" s="8"/>
      <c r="F7" s="9"/>
      <c r="G7" s="9"/>
      <c r="H7" s="9"/>
      <c r="I7" s="9"/>
      <c r="J7" s="9"/>
      <c r="K7" s="9"/>
      <c r="L7" s="17"/>
      <c r="M7" s="9"/>
      <c r="N7" s="9"/>
      <c r="O7" s="9"/>
      <c r="P7" s="10"/>
      <c r="Q7" s="10"/>
    </row>
    <row r="8" spans="1:19" s="11" customFormat="1">
      <c r="A8" s="12"/>
      <c r="B8" s="13"/>
      <c r="C8" s="13"/>
      <c r="D8" s="13"/>
      <c r="E8" s="8"/>
      <c r="F8" s="9"/>
      <c r="G8" s="9"/>
      <c r="H8" s="9"/>
      <c r="I8" s="9"/>
      <c r="J8" s="9"/>
      <c r="K8" s="9"/>
      <c r="L8" s="17"/>
      <c r="M8" s="9"/>
      <c r="N8" s="9"/>
      <c r="O8" s="9"/>
      <c r="P8" s="10"/>
      <c r="Q8" s="10"/>
    </row>
    <row r="9" spans="1:19" s="11" customFormat="1">
      <c r="A9" s="12"/>
      <c r="B9" s="13"/>
      <c r="C9" s="13"/>
      <c r="D9" s="13"/>
      <c r="E9" s="8"/>
      <c r="F9" s="9"/>
      <c r="G9" s="9"/>
      <c r="H9" s="9"/>
      <c r="I9" s="9"/>
      <c r="J9" s="9"/>
      <c r="K9" s="9"/>
      <c r="L9" s="17"/>
      <c r="M9" s="9"/>
      <c r="N9" s="9"/>
      <c r="O9" s="9"/>
      <c r="P9" s="10"/>
      <c r="Q9" s="10"/>
    </row>
    <row r="10" spans="1:19" s="11" customFormat="1" ht="11.25" customHeight="1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17"/>
      <c r="M10" s="9"/>
      <c r="N10" s="9"/>
      <c r="O10" s="9"/>
      <c r="P10" s="10"/>
      <c r="Q10" s="10"/>
    </row>
    <row r="11" spans="1:19" s="11" customFormat="1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17"/>
      <c r="M11" s="9"/>
      <c r="N11" s="9"/>
      <c r="O11" s="9"/>
      <c r="P11" s="10"/>
      <c r="Q11" s="10"/>
    </row>
    <row r="12" spans="1:19" s="11" customFormat="1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17"/>
      <c r="M12" s="9"/>
      <c r="N12" s="9"/>
      <c r="O12" s="9"/>
      <c r="P12" s="10"/>
      <c r="Q12" s="10"/>
    </row>
    <row r="13" spans="1:19" s="11" customFormat="1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17"/>
      <c r="M13" s="9"/>
      <c r="N13" s="9"/>
      <c r="O13" s="9"/>
      <c r="P13" s="10"/>
      <c r="Q13" s="10"/>
    </row>
    <row r="14" spans="1:19" s="11" customFormat="1">
      <c r="A14" s="12"/>
      <c r="B14" s="13"/>
      <c r="C14" s="18"/>
      <c r="D14" s="18"/>
      <c r="F14" s="14"/>
      <c r="G14" s="14"/>
      <c r="H14" s="14"/>
      <c r="I14" s="14"/>
      <c r="J14" s="14"/>
      <c r="K14" s="14"/>
      <c r="L14" s="18"/>
      <c r="M14" s="14"/>
      <c r="N14" s="14"/>
      <c r="O14" s="14"/>
      <c r="P14" s="15"/>
      <c r="Q14" s="15"/>
    </row>
    <row r="15" spans="1:19" s="11" customFormat="1">
      <c r="A15" s="12"/>
      <c r="B15" s="13"/>
      <c r="C15" s="18"/>
      <c r="D15" s="18"/>
      <c r="F15" s="14"/>
      <c r="G15" s="14"/>
      <c r="H15" s="14"/>
      <c r="I15" s="14"/>
      <c r="J15" s="14"/>
      <c r="K15" s="14"/>
      <c r="L15" s="18"/>
      <c r="M15" s="14"/>
      <c r="N15" s="14"/>
      <c r="O15" s="14"/>
      <c r="P15" s="15"/>
      <c r="Q15" s="15"/>
    </row>
    <row r="16" spans="1:19" s="11" customFormat="1">
      <c r="A16" s="12"/>
      <c r="B16" s="13"/>
      <c r="C16" s="18"/>
      <c r="D16" s="18"/>
      <c r="F16" s="14"/>
      <c r="G16" s="14"/>
      <c r="H16" s="14"/>
      <c r="I16" s="14"/>
      <c r="J16" s="14"/>
      <c r="K16" s="14"/>
      <c r="L16" s="18"/>
      <c r="M16" s="14"/>
      <c r="N16" s="14"/>
      <c r="O16" s="14"/>
      <c r="P16" s="15"/>
      <c r="Q16" s="15"/>
    </row>
    <row r="17" spans="2:17" s="11" customFormat="1">
      <c r="B17" s="18"/>
      <c r="C17" s="18"/>
      <c r="D17" s="18"/>
      <c r="F17" s="14"/>
      <c r="G17" s="14"/>
      <c r="H17" s="14"/>
      <c r="I17" s="14"/>
      <c r="J17" s="14"/>
      <c r="K17" s="14"/>
      <c r="L17" s="18"/>
      <c r="M17" s="14"/>
      <c r="N17" s="14"/>
      <c r="O17" s="14"/>
      <c r="P17" s="15"/>
      <c r="Q17" s="15"/>
    </row>
    <row r="18" spans="2:17" s="11" customFormat="1">
      <c r="B18" s="18"/>
      <c r="C18" s="18"/>
      <c r="D18" s="18"/>
      <c r="F18" s="14"/>
      <c r="G18" s="14"/>
      <c r="H18" s="14"/>
      <c r="I18" s="14"/>
      <c r="J18" s="14"/>
      <c r="K18" s="14"/>
      <c r="L18" s="18"/>
      <c r="M18" s="14"/>
      <c r="N18" s="14"/>
      <c r="O18" s="14"/>
      <c r="P18" s="15"/>
      <c r="Q18" s="15"/>
    </row>
    <row r="19" spans="2:17" s="11" customFormat="1">
      <c r="B19" s="18"/>
      <c r="C19" s="18"/>
      <c r="D19" s="18"/>
      <c r="F19" s="14"/>
      <c r="G19" s="14"/>
      <c r="H19" s="14"/>
      <c r="I19" s="14"/>
      <c r="J19" s="14"/>
      <c r="K19" s="14"/>
      <c r="L19" s="18"/>
      <c r="M19" s="14"/>
      <c r="N19" s="14"/>
      <c r="O19" s="14"/>
      <c r="P19" s="15"/>
      <c r="Q19" s="15"/>
    </row>
    <row r="20" spans="2:17" s="11" customFormat="1">
      <c r="B20" s="18"/>
      <c r="C20" s="18"/>
      <c r="D20" s="18"/>
      <c r="F20" s="14"/>
      <c r="G20" s="14"/>
      <c r="H20" s="14"/>
      <c r="I20" s="14"/>
      <c r="J20" s="14"/>
      <c r="K20" s="14"/>
      <c r="L20" s="18"/>
      <c r="M20" s="14"/>
      <c r="N20" s="14"/>
      <c r="O20" s="14"/>
      <c r="P20" s="15"/>
      <c r="Q20" s="15"/>
    </row>
    <row r="21" spans="2:17" s="11" customFormat="1">
      <c r="B21" s="18"/>
      <c r="C21" s="18"/>
      <c r="D21" s="18"/>
      <c r="F21" s="14"/>
      <c r="G21" s="14"/>
      <c r="H21" s="14"/>
      <c r="I21" s="14"/>
      <c r="J21" s="14"/>
      <c r="K21" s="14"/>
      <c r="L21" s="18"/>
      <c r="M21" s="14"/>
      <c r="N21" s="14"/>
      <c r="O21" s="14"/>
      <c r="P21" s="15"/>
      <c r="Q21" s="15"/>
    </row>
    <row r="23" spans="2:17">
      <c r="L23" s="17"/>
    </row>
  </sheetData>
  <mergeCells count="12">
    <mergeCell ref="M1:Q2"/>
    <mergeCell ref="A2:B2"/>
    <mergeCell ref="C2:E2"/>
    <mergeCell ref="F2:F3"/>
    <mergeCell ref="G2:K2"/>
    <mergeCell ref="B3:D3"/>
    <mergeCell ref="P3:Q3"/>
    <mergeCell ref="B4:D4"/>
    <mergeCell ref="B5:D5"/>
    <mergeCell ref="A1:B1"/>
    <mergeCell ref="C1:K1"/>
    <mergeCell ref="L1:L2"/>
  </mergeCells>
  <phoneticPr fontId="3"/>
  <dataValidations count="6">
    <dataValidation type="whole" imeMode="off" operator="greaterThanOrEqual" allowBlank="1" showInputMessage="1" showErrorMessage="1" sqref="F2:K65536 M3:M65536" xr:uid="{00000000-0002-0000-0200-000000000000}">
      <formula1>1</formula1>
    </dataValidation>
    <dataValidation type="list" imeMode="on" allowBlank="1" showInputMessage="1" showErrorMessage="1" sqref="N4:N65536" xr:uid="{00000000-0002-0000-0200-000001000000}">
      <formula1>INDIRECT($S$1,FALSE)</formula1>
    </dataValidation>
    <dataValidation type="list" allowBlank="1" showInputMessage="1" showErrorMessage="1" sqref="O4:O65536" xr:uid="{00000000-0002-0000-0200-000002000000}">
      <formula1>INDIRECT($S$2,FALSE)</formula1>
    </dataValidation>
    <dataValidation type="list" allowBlank="1" showInputMessage="1" showErrorMessage="1" sqref="L4:L65536" xr:uid="{00000000-0002-0000-0200-000003000000}">
      <formula1>INDIRECT($R$1,FALSE)</formula1>
    </dataValidation>
    <dataValidation imeMode="on" allowBlank="1" showInputMessage="1" showErrorMessage="1" sqref="M1:Q2 B9 B10:D65536 B1:B4 P4:Q65536 C1:K1 C3:D3 C7:D9" xr:uid="{00000000-0002-0000-0200-000004000000}"/>
    <dataValidation imeMode="off" allowBlank="1" showInputMessage="1" showErrorMessage="1" sqref="A1:A1048576 E3:E65536" xr:uid="{00000000-0002-0000-0200-000005000000}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S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" sqref="A4"/>
    </sheetView>
  </sheetViews>
  <sheetFormatPr defaultColWidth="15.625" defaultRowHeight="11.2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11" width="2.625" style="14" customWidth="1"/>
    <col min="12" max="12" width="8.75" style="18" customWidth="1"/>
    <col min="13" max="13" width="5.625" style="14" customWidth="1"/>
    <col min="14" max="14" width="5.375" style="14" customWidth="1"/>
    <col min="15" max="15" width="5.5" style="14" customWidth="1"/>
    <col min="16" max="16" width="25.75" style="15" customWidth="1"/>
    <col min="17" max="17" width="26.625" style="15" customWidth="1"/>
    <col min="18" max="16384" width="15.625" style="16"/>
  </cols>
  <sheetData>
    <row r="1" spans="1:19" s="2" customFormat="1">
      <c r="A1" s="49" t="s">
        <v>3</v>
      </c>
      <c r="B1" s="50"/>
      <c r="C1" s="37" t="s">
        <v>89</v>
      </c>
      <c r="D1" s="38"/>
      <c r="E1" s="38"/>
      <c r="F1" s="38"/>
      <c r="G1" s="38"/>
      <c r="H1" s="38"/>
      <c r="I1" s="38"/>
      <c r="J1" s="38"/>
      <c r="K1" s="39"/>
      <c r="L1" s="43" t="s">
        <v>4</v>
      </c>
      <c r="M1" s="32"/>
      <c r="N1" s="32"/>
      <c r="O1" s="32"/>
      <c r="P1" s="32"/>
      <c r="Q1" s="32"/>
      <c r="R1" s="1" t="str">
        <f>"設定!R2C1:R"&amp;COUNTA(設定!$A:$A)&amp;"C1"</f>
        <v>設定!R2C1:R12C1</v>
      </c>
      <c r="S1" s="1" t="str">
        <f>"設定!R2C10:R"&amp;COUNTA(設定!$J:$J)&amp;"C10"</f>
        <v>設定!R2C10:R4C10</v>
      </c>
    </row>
    <row r="2" spans="1:19" s="2" customFormat="1" ht="11.25" customHeight="1">
      <c r="A2" s="28" t="s">
        <v>49</v>
      </c>
      <c r="B2" s="29"/>
      <c r="C2" s="40" t="s">
        <v>88</v>
      </c>
      <c r="D2" s="41"/>
      <c r="E2" s="42"/>
      <c r="F2" s="45" t="s">
        <v>5</v>
      </c>
      <c r="G2" s="47" t="s">
        <v>47</v>
      </c>
      <c r="H2" s="47"/>
      <c r="I2" s="47"/>
      <c r="J2" s="47"/>
      <c r="K2" s="48"/>
      <c r="L2" s="44"/>
      <c r="M2" s="33"/>
      <c r="N2" s="33"/>
      <c r="O2" s="33"/>
      <c r="P2" s="33"/>
      <c r="Q2" s="33"/>
      <c r="R2" s="1"/>
      <c r="S2" s="1" t="str">
        <f>"設定!R2C13:R"&amp;COUNTA(設定!$M:$M)&amp;"C13"</f>
        <v>設定!R2C13:R4C13</v>
      </c>
    </row>
    <row r="3" spans="1:19" s="6" customFormat="1" ht="11.25" customHeight="1">
      <c r="A3" s="26" t="s">
        <v>48</v>
      </c>
      <c r="B3" s="34" t="s">
        <v>0</v>
      </c>
      <c r="C3" s="35"/>
      <c r="D3" s="36"/>
      <c r="E3" s="25" t="s">
        <v>53</v>
      </c>
      <c r="F3" s="46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 t="s">
        <v>1</v>
      </c>
      <c r="M3" s="27" t="s">
        <v>17</v>
      </c>
      <c r="N3" s="27" t="s">
        <v>18</v>
      </c>
      <c r="O3" s="27" t="s">
        <v>19</v>
      </c>
      <c r="P3" s="30" t="s">
        <v>2</v>
      </c>
      <c r="Q3" s="31"/>
    </row>
    <row r="4" spans="1:19" s="11" customFormat="1" ht="11.25" customHeight="1">
      <c r="A4" s="7">
        <v>1</v>
      </c>
      <c r="B4" s="51" t="s">
        <v>86</v>
      </c>
      <c r="C4" s="51"/>
      <c r="D4" s="51"/>
      <c r="E4" s="8" t="s">
        <v>87</v>
      </c>
      <c r="F4" s="9">
        <v>1</v>
      </c>
      <c r="G4" s="9"/>
      <c r="H4" s="9"/>
      <c r="I4" s="9"/>
      <c r="J4" s="9"/>
      <c r="K4" s="9"/>
      <c r="L4" s="17" t="s">
        <v>11</v>
      </c>
      <c r="M4" s="9">
        <v>20</v>
      </c>
      <c r="N4" s="9" t="s">
        <v>61</v>
      </c>
      <c r="O4" s="9" t="s">
        <v>29</v>
      </c>
      <c r="P4" s="10"/>
      <c r="Q4" s="10"/>
    </row>
    <row r="5" spans="1:19" s="11" customFormat="1">
      <c r="A5" s="12">
        <v>2</v>
      </c>
      <c r="B5" s="52" t="s">
        <v>90</v>
      </c>
      <c r="C5" s="52"/>
      <c r="D5" s="13" t="s">
        <v>91</v>
      </c>
      <c r="E5" s="8" t="s">
        <v>93</v>
      </c>
      <c r="F5" s="9"/>
      <c r="G5" s="9">
        <v>1</v>
      </c>
      <c r="H5" s="9"/>
      <c r="I5" s="9"/>
      <c r="J5" s="9"/>
      <c r="K5" s="9"/>
      <c r="L5" s="17" t="s">
        <v>21</v>
      </c>
      <c r="M5" s="9"/>
      <c r="N5" s="9" t="s">
        <v>61</v>
      </c>
      <c r="O5" s="9"/>
      <c r="P5" s="10"/>
      <c r="Q5" s="10"/>
    </row>
    <row r="6" spans="1:19" s="11" customFormat="1">
      <c r="A6" s="12">
        <v>3</v>
      </c>
      <c r="B6" s="52"/>
      <c r="C6" s="52"/>
      <c r="D6" s="13" t="s">
        <v>92</v>
      </c>
      <c r="E6" s="8" t="s">
        <v>94</v>
      </c>
      <c r="F6" s="9"/>
      <c r="G6" s="9">
        <v>2</v>
      </c>
      <c r="H6" s="9"/>
      <c r="I6" s="9"/>
      <c r="J6" s="9"/>
      <c r="K6" s="9"/>
      <c r="L6" s="17" t="s">
        <v>21</v>
      </c>
      <c r="M6" s="9"/>
      <c r="N6" s="9" t="s">
        <v>61</v>
      </c>
      <c r="O6" s="9"/>
      <c r="P6" s="10"/>
      <c r="Q6" s="10"/>
    </row>
    <row r="7" spans="1:19" s="11" customFormat="1">
      <c r="A7" s="12">
        <v>4</v>
      </c>
      <c r="B7" s="52" t="s">
        <v>95</v>
      </c>
      <c r="C7" s="52"/>
      <c r="D7" s="52"/>
      <c r="E7" s="8" t="s">
        <v>96</v>
      </c>
      <c r="F7" s="9"/>
      <c r="G7" s="9"/>
      <c r="H7" s="9"/>
      <c r="I7" s="9"/>
      <c r="J7" s="9"/>
      <c r="K7" s="9"/>
      <c r="L7" s="17" t="s">
        <v>11</v>
      </c>
      <c r="M7" s="9">
        <v>50</v>
      </c>
      <c r="N7" s="9" t="s">
        <v>61</v>
      </c>
      <c r="O7" s="9" t="s">
        <v>29</v>
      </c>
      <c r="P7" s="10"/>
      <c r="Q7" s="10"/>
    </row>
    <row r="8" spans="1:19" s="11" customFormat="1">
      <c r="A8" s="12"/>
      <c r="B8" s="13"/>
      <c r="C8" s="13"/>
      <c r="D8" s="13"/>
      <c r="E8" s="8"/>
      <c r="F8" s="9"/>
      <c r="G8" s="9"/>
      <c r="H8" s="9"/>
      <c r="I8" s="9"/>
      <c r="J8" s="9"/>
      <c r="K8" s="9"/>
      <c r="L8" s="17"/>
      <c r="M8" s="9"/>
      <c r="N8" s="9"/>
      <c r="O8" s="9"/>
      <c r="P8" s="10"/>
      <c r="Q8" s="10"/>
    </row>
    <row r="9" spans="1:19" s="11" customFormat="1">
      <c r="A9" s="12"/>
      <c r="B9" s="13"/>
      <c r="C9" s="13"/>
      <c r="D9" s="13"/>
      <c r="E9" s="8"/>
      <c r="F9" s="9"/>
      <c r="G9" s="9"/>
      <c r="H9" s="9"/>
      <c r="I9" s="9"/>
      <c r="J9" s="9"/>
      <c r="K9" s="9"/>
      <c r="L9" s="17"/>
      <c r="M9" s="9"/>
      <c r="N9" s="9"/>
      <c r="O9" s="9"/>
      <c r="P9" s="10"/>
      <c r="Q9" s="10"/>
    </row>
    <row r="10" spans="1:19" s="11" customFormat="1" ht="11.25" customHeight="1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17"/>
      <c r="M10" s="9"/>
      <c r="N10" s="9"/>
      <c r="O10" s="9"/>
      <c r="P10" s="10"/>
      <c r="Q10" s="10"/>
    </row>
    <row r="11" spans="1:19" s="11" customFormat="1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17"/>
      <c r="M11" s="9"/>
      <c r="N11" s="9"/>
      <c r="O11" s="9"/>
      <c r="P11" s="10"/>
      <c r="Q11" s="10"/>
    </row>
    <row r="12" spans="1:19" s="11" customFormat="1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17"/>
      <c r="M12" s="9"/>
      <c r="N12" s="9"/>
      <c r="O12" s="9"/>
      <c r="P12" s="10"/>
      <c r="Q12" s="10"/>
    </row>
    <row r="13" spans="1:19" s="11" customFormat="1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17"/>
      <c r="M13" s="9"/>
      <c r="N13" s="9"/>
      <c r="O13" s="9"/>
      <c r="P13" s="10"/>
      <c r="Q13" s="10"/>
    </row>
    <row r="14" spans="1:19" s="11" customFormat="1">
      <c r="A14" s="12"/>
      <c r="B14" s="13"/>
      <c r="C14" s="18"/>
      <c r="D14" s="18"/>
      <c r="F14" s="14"/>
      <c r="G14" s="14"/>
      <c r="H14" s="14"/>
      <c r="I14" s="14"/>
      <c r="J14" s="14"/>
      <c r="K14" s="14"/>
      <c r="L14" s="18"/>
      <c r="M14" s="14"/>
      <c r="N14" s="14"/>
      <c r="O14" s="14"/>
      <c r="P14" s="15"/>
      <c r="Q14" s="15"/>
    </row>
    <row r="15" spans="1:19" s="11" customFormat="1">
      <c r="A15" s="12"/>
      <c r="B15" s="13"/>
      <c r="C15" s="18"/>
      <c r="D15" s="18"/>
      <c r="F15" s="14"/>
      <c r="G15" s="14"/>
      <c r="H15" s="14"/>
      <c r="I15" s="14"/>
      <c r="J15" s="14"/>
      <c r="K15" s="14"/>
      <c r="L15" s="18"/>
      <c r="M15" s="14"/>
      <c r="N15" s="14"/>
      <c r="O15" s="14"/>
      <c r="P15" s="15"/>
      <c r="Q15" s="15"/>
    </row>
    <row r="16" spans="1:19" s="11" customFormat="1">
      <c r="A16" s="12"/>
      <c r="B16" s="13"/>
      <c r="C16" s="18"/>
      <c r="D16" s="18"/>
      <c r="F16" s="14"/>
      <c r="G16" s="14"/>
      <c r="H16" s="14"/>
      <c r="I16" s="14"/>
      <c r="J16" s="14"/>
      <c r="K16" s="14"/>
      <c r="L16" s="18"/>
      <c r="M16" s="14"/>
      <c r="N16" s="14"/>
      <c r="O16" s="14"/>
      <c r="P16" s="15"/>
      <c r="Q16" s="15"/>
    </row>
    <row r="17" spans="2:17" s="11" customFormat="1">
      <c r="B17" s="18"/>
      <c r="C17" s="18"/>
      <c r="D17" s="18"/>
      <c r="F17" s="14"/>
      <c r="G17" s="14"/>
      <c r="H17" s="14"/>
      <c r="I17" s="14"/>
      <c r="J17" s="14"/>
      <c r="K17" s="14"/>
      <c r="L17" s="18"/>
      <c r="M17" s="14"/>
      <c r="N17" s="14"/>
      <c r="O17" s="14"/>
      <c r="P17" s="15"/>
      <c r="Q17" s="15"/>
    </row>
    <row r="18" spans="2:17" s="11" customFormat="1">
      <c r="B18" s="18"/>
      <c r="C18" s="18"/>
      <c r="D18" s="18"/>
      <c r="F18" s="14"/>
      <c r="G18" s="14"/>
      <c r="H18" s="14"/>
      <c r="I18" s="14"/>
      <c r="J18" s="14"/>
      <c r="K18" s="14"/>
      <c r="L18" s="18"/>
      <c r="M18" s="14"/>
      <c r="N18" s="14"/>
      <c r="O18" s="14"/>
      <c r="P18" s="15"/>
      <c r="Q18" s="15"/>
    </row>
    <row r="19" spans="2:17" s="11" customFormat="1">
      <c r="B19" s="18"/>
      <c r="C19" s="18"/>
      <c r="D19" s="18"/>
      <c r="F19" s="14"/>
      <c r="G19" s="14"/>
      <c r="H19" s="14"/>
      <c r="I19" s="14"/>
      <c r="J19" s="14"/>
      <c r="K19" s="14"/>
      <c r="L19" s="18"/>
      <c r="M19" s="14"/>
      <c r="N19" s="14"/>
      <c r="O19" s="14"/>
      <c r="P19" s="15"/>
      <c r="Q19" s="15"/>
    </row>
    <row r="20" spans="2:17" s="11" customFormat="1">
      <c r="B20" s="18"/>
      <c r="C20" s="18"/>
      <c r="D20" s="18"/>
      <c r="F20" s="14"/>
      <c r="G20" s="14"/>
      <c r="H20" s="14"/>
      <c r="I20" s="14"/>
      <c r="J20" s="14"/>
      <c r="K20" s="14"/>
      <c r="L20" s="18"/>
      <c r="M20" s="14"/>
      <c r="N20" s="14"/>
      <c r="O20" s="14"/>
      <c r="P20" s="15"/>
      <c r="Q20" s="15"/>
    </row>
    <row r="21" spans="2:17" s="11" customFormat="1">
      <c r="B21" s="18"/>
      <c r="C21" s="18"/>
      <c r="D21" s="18"/>
      <c r="F21" s="14"/>
      <c r="G21" s="14"/>
      <c r="H21" s="14"/>
      <c r="I21" s="14"/>
      <c r="J21" s="14"/>
      <c r="K21" s="14"/>
      <c r="L21" s="18"/>
      <c r="M21" s="14"/>
      <c r="N21" s="14"/>
      <c r="O21" s="14"/>
      <c r="P21" s="15"/>
      <c r="Q21" s="15"/>
    </row>
    <row r="23" spans="2:17">
      <c r="L23" s="17"/>
    </row>
  </sheetData>
  <mergeCells count="13">
    <mergeCell ref="L1:L2"/>
    <mergeCell ref="M1:Q2"/>
    <mergeCell ref="A2:B2"/>
    <mergeCell ref="C2:E2"/>
    <mergeCell ref="F2:F3"/>
    <mergeCell ref="G2:K2"/>
    <mergeCell ref="B3:D3"/>
    <mergeCell ref="P3:Q3"/>
    <mergeCell ref="B4:D4"/>
    <mergeCell ref="B5:C6"/>
    <mergeCell ref="B7:D7"/>
    <mergeCell ref="A1:B1"/>
    <mergeCell ref="C1:K1"/>
  </mergeCells>
  <phoneticPr fontId="3"/>
  <dataValidations count="6">
    <dataValidation type="whole" imeMode="off" operator="greaterThanOrEqual" allowBlank="1" showInputMessage="1" showErrorMessage="1" sqref="F2:K65536 M3:M65536" xr:uid="{00000000-0002-0000-0300-000000000000}">
      <formula1>1</formula1>
    </dataValidation>
    <dataValidation type="list" imeMode="on" allowBlank="1" showInputMessage="1" showErrorMessage="1" sqref="N4:N65536" xr:uid="{00000000-0002-0000-0300-000001000000}">
      <formula1>INDIRECT($S$1,FALSE)</formula1>
    </dataValidation>
    <dataValidation type="list" allowBlank="1" showInputMessage="1" showErrorMessage="1" sqref="O4:O65536" xr:uid="{00000000-0002-0000-0300-000002000000}">
      <formula1>INDIRECT($S$2,FALSE)</formula1>
    </dataValidation>
    <dataValidation type="list" allowBlank="1" showInputMessage="1" showErrorMessage="1" sqref="L4:L65536" xr:uid="{00000000-0002-0000-0300-000003000000}">
      <formula1>INDIRECT($R$1,FALSE)</formula1>
    </dataValidation>
    <dataValidation imeMode="on" allowBlank="1" showInputMessage="1" showErrorMessage="1" sqref="M1:Q2 B9 B10:D65536 B1:B4 P4:Q65536 C1:K1 C3:D3 C8:C9 D5:D6 D8:D9" xr:uid="{00000000-0002-0000-0300-000004000000}"/>
    <dataValidation imeMode="off" allowBlank="1" showInputMessage="1" showErrorMessage="1" sqref="A1:A1048576 E3:E65536" xr:uid="{00000000-0002-0000-0300-000005000000}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S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" sqref="A4"/>
    </sheetView>
  </sheetViews>
  <sheetFormatPr defaultColWidth="15.625" defaultRowHeight="11.2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11" width="2.625" style="14" customWidth="1"/>
    <col min="12" max="12" width="8.75" style="18" customWidth="1"/>
    <col min="13" max="13" width="5.625" style="14" customWidth="1"/>
    <col min="14" max="14" width="5.375" style="14" customWidth="1"/>
    <col min="15" max="15" width="5.5" style="14" customWidth="1"/>
    <col min="16" max="16" width="25.75" style="15" customWidth="1"/>
    <col min="17" max="17" width="26.625" style="15" customWidth="1"/>
    <col min="18" max="16384" width="15.625" style="16"/>
  </cols>
  <sheetData>
    <row r="1" spans="1:19" s="2" customFormat="1">
      <c r="A1" s="49" t="s">
        <v>3</v>
      </c>
      <c r="B1" s="50"/>
      <c r="C1" s="37" t="s">
        <v>62</v>
      </c>
      <c r="D1" s="38"/>
      <c r="E1" s="38"/>
      <c r="F1" s="38"/>
      <c r="G1" s="38"/>
      <c r="H1" s="38"/>
      <c r="I1" s="38"/>
      <c r="J1" s="38"/>
      <c r="K1" s="39"/>
      <c r="L1" s="43" t="s">
        <v>4</v>
      </c>
      <c r="M1" s="32"/>
      <c r="N1" s="32"/>
      <c r="O1" s="32"/>
      <c r="P1" s="32"/>
      <c r="Q1" s="32"/>
      <c r="R1" s="1" t="str">
        <f>"設定!R2C1:R"&amp;COUNTA(設定!$A:$A)&amp;"C1"</f>
        <v>設定!R2C1:R12C1</v>
      </c>
      <c r="S1" s="1" t="str">
        <f>"設定!R2C10:R"&amp;COUNTA(設定!$J:$J)&amp;"C10"</f>
        <v>設定!R2C10:R4C10</v>
      </c>
    </row>
    <row r="2" spans="1:19" s="2" customFormat="1" ht="11.25" customHeight="1">
      <c r="A2" s="28" t="s">
        <v>49</v>
      </c>
      <c r="B2" s="29"/>
      <c r="C2" s="40" t="s">
        <v>63</v>
      </c>
      <c r="D2" s="41"/>
      <c r="E2" s="42"/>
      <c r="F2" s="45" t="s">
        <v>5</v>
      </c>
      <c r="G2" s="47" t="s">
        <v>47</v>
      </c>
      <c r="H2" s="47"/>
      <c r="I2" s="47"/>
      <c r="J2" s="47"/>
      <c r="K2" s="48"/>
      <c r="L2" s="44"/>
      <c r="M2" s="33"/>
      <c r="N2" s="33"/>
      <c r="O2" s="33"/>
      <c r="P2" s="33"/>
      <c r="Q2" s="33"/>
      <c r="R2" s="1"/>
      <c r="S2" s="1" t="str">
        <f>"設定!R2C13:R"&amp;COUNTA(設定!$M:$M)&amp;"C13"</f>
        <v>設定!R2C13:R4C13</v>
      </c>
    </row>
    <row r="3" spans="1:19" s="6" customFormat="1" ht="11.25" customHeight="1">
      <c r="A3" s="26" t="s">
        <v>48</v>
      </c>
      <c r="B3" s="34" t="s">
        <v>0</v>
      </c>
      <c r="C3" s="35"/>
      <c r="D3" s="36"/>
      <c r="E3" s="25" t="s">
        <v>53</v>
      </c>
      <c r="F3" s="46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 t="s">
        <v>1</v>
      </c>
      <c r="M3" s="27" t="s">
        <v>17</v>
      </c>
      <c r="N3" s="27" t="s">
        <v>18</v>
      </c>
      <c r="O3" s="27" t="s">
        <v>19</v>
      </c>
      <c r="P3" s="30" t="s">
        <v>2</v>
      </c>
      <c r="Q3" s="31"/>
    </row>
    <row r="4" spans="1:19" s="11" customFormat="1" ht="11.25" customHeight="1">
      <c r="A4" s="7">
        <v>1</v>
      </c>
      <c r="B4" s="51" t="s">
        <v>64</v>
      </c>
      <c r="C4" s="51"/>
      <c r="D4" s="51"/>
      <c r="E4" s="8" t="s">
        <v>72</v>
      </c>
      <c r="F4" s="9">
        <v>1</v>
      </c>
      <c r="G4" s="9"/>
      <c r="H4" s="9"/>
      <c r="I4" s="9"/>
      <c r="J4" s="9"/>
      <c r="K4" s="9"/>
      <c r="L4" s="17" t="s">
        <v>11</v>
      </c>
      <c r="M4" s="9">
        <v>20</v>
      </c>
      <c r="N4" s="9" t="s">
        <v>61</v>
      </c>
      <c r="O4" s="9" t="s">
        <v>29</v>
      </c>
      <c r="P4" s="10"/>
      <c r="Q4" s="10"/>
    </row>
    <row r="5" spans="1:19" s="11" customFormat="1">
      <c r="A5" s="12">
        <v>2</v>
      </c>
      <c r="B5" s="52" t="s">
        <v>65</v>
      </c>
      <c r="C5" s="52"/>
      <c r="D5" s="13" t="s">
        <v>97</v>
      </c>
      <c r="E5" s="8" t="s">
        <v>99</v>
      </c>
      <c r="F5" s="9"/>
      <c r="G5" s="9"/>
      <c r="H5" s="9"/>
      <c r="I5" s="9"/>
      <c r="J5" s="9"/>
      <c r="K5" s="9"/>
      <c r="L5" s="17" t="s">
        <v>11</v>
      </c>
      <c r="M5" s="9">
        <v>50</v>
      </c>
      <c r="N5" s="9" t="s">
        <v>61</v>
      </c>
      <c r="O5" s="9" t="s">
        <v>29</v>
      </c>
      <c r="P5" s="10"/>
      <c r="Q5" s="10"/>
    </row>
    <row r="6" spans="1:19" s="11" customFormat="1">
      <c r="A6" s="12">
        <v>3</v>
      </c>
      <c r="B6" s="52"/>
      <c r="C6" s="52"/>
      <c r="D6" s="13" t="s">
        <v>98</v>
      </c>
      <c r="E6" s="8" t="s">
        <v>100</v>
      </c>
      <c r="F6" s="9"/>
      <c r="G6" s="9"/>
      <c r="H6" s="9"/>
      <c r="I6" s="9"/>
      <c r="J6" s="9"/>
      <c r="K6" s="9"/>
      <c r="L6" s="17" t="s">
        <v>11</v>
      </c>
      <c r="M6" s="9">
        <v>50</v>
      </c>
      <c r="N6" s="9" t="s">
        <v>61</v>
      </c>
      <c r="O6" s="9" t="s">
        <v>29</v>
      </c>
      <c r="P6" s="10"/>
      <c r="Q6" s="10"/>
    </row>
    <row r="7" spans="1:19" s="11" customFormat="1">
      <c r="A7" s="12">
        <v>4</v>
      </c>
      <c r="B7" s="52" t="s">
        <v>70</v>
      </c>
      <c r="C7" s="52"/>
      <c r="D7" s="13" t="s">
        <v>97</v>
      </c>
      <c r="E7" s="8" t="s">
        <v>101</v>
      </c>
      <c r="F7" s="9"/>
      <c r="G7" s="9">
        <v>1</v>
      </c>
      <c r="H7" s="9"/>
      <c r="I7" s="9"/>
      <c r="J7" s="9"/>
      <c r="K7" s="9"/>
      <c r="L7" s="17" t="s">
        <v>11</v>
      </c>
      <c r="M7" s="9">
        <v>50</v>
      </c>
      <c r="N7" s="9" t="s">
        <v>61</v>
      </c>
      <c r="O7" s="9" t="s">
        <v>29</v>
      </c>
      <c r="P7" s="53" t="s">
        <v>103</v>
      </c>
      <c r="Q7" s="10"/>
    </row>
    <row r="8" spans="1:19" s="11" customFormat="1">
      <c r="A8" s="12">
        <v>5</v>
      </c>
      <c r="B8" s="52"/>
      <c r="C8" s="52"/>
      <c r="D8" s="13" t="s">
        <v>98</v>
      </c>
      <c r="E8" s="8" t="s">
        <v>102</v>
      </c>
      <c r="F8" s="9"/>
      <c r="G8" s="9">
        <v>2</v>
      </c>
      <c r="H8" s="9"/>
      <c r="I8" s="9"/>
      <c r="J8" s="9"/>
      <c r="K8" s="9"/>
      <c r="L8" s="17" t="s">
        <v>11</v>
      </c>
      <c r="M8" s="9">
        <v>50</v>
      </c>
      <c r="N8" s="9" t="s">
        <v>61</v>
      </c>
      <c r="O8" s="9" t="s">
        <v>29</v>
      </c>
      <c r="P8" s="53"/>
      <c r="Q8" s="10"/>
    </row>
    <row r="9" spans="1:19" s="11" customFormat="1">
      <c r="A9" s="12">
        <v>6</v>
      </c>
      <c r="B9" s="52" t="s">
        <v>66</v>
      </c>
      <c r="C9" s="52"/>
      <c r="D9" s="52"/>
      <c r="E9" s="8" t="s">
        <v>73</v>
      </c>
      <c r="F9" s="9"/>
      <c r="G9" s="9"/>
      <c r="H9" s="9"/>
      <c r="I9" s="9"/>
      <c r="J9" s="9"/>
      <c r="K9" s="9"/>
      <c r="L9" s="17" t="s">
        <v>11</v>
      </c>
      <c r="M9" s="9">
        <v>2</v>
      </c>
      <c r="N9" s="9" t="s">
        <v>61</v>
      </c>
      <c r="O9" s="9" t="s">
        <v>29</v>
      </c>
      <c r="P9" s="10" t="s">
        <v>77</v>
      </c>
      <c r="Q9" s="10"/>
    </row>
    <row r="10" spans="1:19" s="11" customFormat="1" ht="11.25" customHeight="1">
      <c r="A10" s="12">
        <v>7</v>
      </c>
      <c r="B10" s="52" t="s">
        <v>67</v>
      </c>
      <c r="C10" s="52"/>
      <c r="D10" s="52"/>
      <c r="E10" s="8" t="s">
        <v>74</v>
      </c>
      <c r="F10" s="9"/>
      <c r="G10" s="9"/>
      <c r="H10" s="9"/>
      <c r="I10" s="9"/>
      <c r="J10" s="9"/>
      <c r="K10" s="9"/>
      <c r="L10" s="17" t="s">
        <v>13</v>
      </c>
      <c r="M10" s="9"/>
      <c r="N10" s="9" t="s">
        <v>61</v>
      </c>
      <c r="O10" s="9"/>
      <c r="P10" s="10"/>
      <c r="Q10" s="10"/>
    </row>
    <row r="11" spans="1:19" s="11" customFormat="1">
      <c r="A11" s="12">
        <v>8</v>
      </c>
      <c r="B11" s="52" t="s">
        <v>68</v>
      </c>
      <c r="C11" s="52"/>
      <c r="D11" s="52"/>
      <c r="E11" s="8" t="s">
        <v>75</v>
      </c>
      <c r="F11" s="9"/>
      <c r="G11" s="9"/>
      <c r="H11" s="9"/>
      <c r="I11" s="9"/>
      <c r="J11" s="9"/>
      <c r="K11" s="9"/>
      <c r="L11" s="17" t="s">
        <v>13</v>
      </c>
      <c r="M11" s="9"/>
      <c r="N11" s="9" t="s">
        <v>61</v>
      </c>
      <c r="O11" s="9"/>
      <c r="P11" s="10"/>
      <c r="Q11" s="10"/>
    </row>
    <row r="12" spans="1:19" s="11" customFormat="1">
      <c r="A12" s="12">
        <v>9</v>
      </c>
      <c r="B12" s="52" t="s">
        <v>69</v>
      </c>
      <c r="C12" s="52"/>
      <c r="D12" s="52"/>
      <c r="E12" s="8" t="s">
        <v>76</v>
      </c>
      <c r="F12" s="9"/>
      <c r="G12" s="9"/>
      <c r="H12" s="9"/>
      <c r="I12" s="9"/>
      <c r="J12" s="9"/>
      <c r="K12" s="9"/>
      <c r="L12" s="17" t="s">
        <v>13</v>
      </c>
      <c r="M12" s="9"/>
      <c r="N12" s="9" t="s">
        <v>78</v>
      </c>
      <c r="O12" s="9"/>
      <c r="P12" s="10"/>
      <c r="Q12" s="10"/>
    </row>
    <row r="13" spans="1:19" s="11" customFormat="1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17"/>
      <c r="M13" s="9"/>
      <c r="N13" s="9"/>
      <c r="O13" s="9"/>
      <c r="P13" s="10"/>
      <c r="Q13" s="10"/>
    </row>
    <row r="14" spans="1:19" s="11" customFormat="1">
      <c r="A14" s="12"/>
      <c r="B14" s="13"/>
      <c r="C14" s="13"/>
      <c r="D14" s="13"/>
      <c r="E14" s="8"/>
      <c r="F14" s="9"/>
      <c r="G14" s="9"/>
      <c r="H14" s="9"/>
      <c r="I14" s="9"/>
      <c r="J14" s="9"/>
      <c r="K14" s="9"/>
      <c r="L14" s="17"/>
      <c r="M14" s="9"/>
      <c r="N14" s="9"/>
      <c r="O14" s="9"/>
      <c r="P14" s="10"/>
      <c r="Q14" s="15"/>
    </row>
    <row r="15" spans="1:19" s="11" customFormat="1">
      <c r="A15" s="12"/>
      <c r="B15" s="13"/>
      <c r="C15" s="13"/>
      <c r="D15" s="13"/>
      <c r="E15" s="8"/>
      <c r="F15" s="9"/>
      <c r="G15" s="9"/>
      <c r="H15" s="9"/>
      <c r="I15" s="9"/>
      <c r="J15" s="9"/>
      <c r="K15" s="9"/>
      <c r="L15" s="17"/>
      <c r="M15" s="9"/>
      <c r="N15" s="9"/>
      <c r="O15" s="9"/>
      <c r="P15" s="10"/>
      <c r="Q15" s="15"/>
    </row>
    <row r="16" spans="1:19" s="11" customFormat="1">
      <c r="A16" s="12"/>
      <c r="B16" s="13"/>
      <c r="C16" s="13"/>
      <c r="D16" s="13"/>
      <c r="E16" s="8"/>
      <c r="F16" s="9"/>
      <c r="G16" s="9"/>
      <c r="H16" s="9"/>
      <c r="I16" s="9"/>
      <c r="J16" s="9"/>
      <c r="K16" s="9"/>
      <c r="L16" s="17"/>
      <c r="M16" s="9"/>
      <c r="N16" s="9"/>
      <c r="O16" s="9"/>
      <c r="P16" s="10"/>
      <c r="Q16" s="15"/>
    </row>
    <row r="17" spans="2:17" s="11" customFormat="1">
      <c r="B17" s="18"/>
      <c r="C17" s="18"/>
      <c r="D17" s="18"/>
      <c r="F17" s="14"/>
      <c r="G17" s="14"/>
      <c r="H17" s="14"/>
      <c r="I17" s="14"/>
      <c r="J17" s="14"/>
      <c r="K17" s="14"/>
      <c r="L17" s="18"/>
      <c r="M17" s="14"/>
      <c r="N17" s="14"/>
      <c r="O17" s="14"/>
      <c r="P17" s="15"/>
      <c r="Q17" s="15"/>
    </row>
    <row r="18" spans="2:17" s="11" customFormat="1">
      <c r="B18" s="18"/>
      <c r="C18" s="18"/>
      <c r="D18" s="18"/>
      <c r="F18" s="14"/>
      <c r="G18" s="14"/>
      <c r="H18" s="14"/>
      <c r="I18" s="14"/>
      <c r="J18" s="14"/>
      <c r="K18" s="14"/>
      <c r="L18" s="18"/>
      <c r="M18" s="14"/>
      <c r="N18" s="14"/>
      <c r="O18" s="14"/>
      <c r="P18" s="15"/>
      <c r="Q18" s="15"/>
    </row>
    <row r="19" spans="2:17" s="11" customFormat="1">
      <c r="B19" s="18"/>
      <c r="C19" s="18"/>
      <c r="D19" s="18"/>
      <c r="F19" s="14"/>
      <c r="G19" s="14"/>
      <c r="H19" s="14"/>
      <c r="I19" s="14"/>
      <c r="J19" s="14"/>
      <c r="K19" s="14"/>
      <c r="L19" s="18"/>
      <c r="M19" s="14"/>
      <c r="N19" s="14"/>
      <c r="O19" s="14"/>
      <c r="P19" s="15"/>
      <c r="Q19" s="15"/>
    </row>
    <row r="20" spans="2:17" s="11" customFormat="1">
      <c r="B20" s="18"/>
      <c r="C20" s="18"/>
      <c r="D20" s="18"/>
      <c r="F20" s="14"/>
      <c r="G20" s="14"/>
      <c r="H20" s="14"/>
      <c r="I20" s="14"/>
      <c r="J20" s="14"/>
      <c r="K20" s="14"/>
      <c r="L20" s="18"/>
      <c r="M20" s="14"/>
      <c r="N20" s="14"/>
      <c r="O20" s="14"/>
      <c r="P20" s="15"/>
      <c r="Q20" s="15"/>
    </row>
    <row r="21" spans="2:17" s="11" customFormat="1">
      <c r="B21" s="18"/>
      <c r="C21" s="18"/>
      <c r="D21" s="18"/>
      <c r="F21" s="14"/>
      <c r="G21" s="14"/>
      <c r="H21" s="14"/>
      <c r="I21" s="14"/>
      <c r="J21" s="14"/>
      <c r="K21" s="14"/>
      <c r="L21" s="18"/>
      <c r="M21" s="14"/>
      <c r="N21" s="14"/>
      <c r="O21" s="14"/>
      <c r="P21" s="15"/>
      <c r="Q21" s="15"/>
    </row>
    <row r="23" spans="2:17">
      <c r="L23" s="17"/>
    </row>
  </sheetData>
  <mergeCells count="18">
    <mergeCell ref="L1:L2"/>
    <mergeCell ref="M1:Q2"/>
    <mergeCell ref="A2:B2"/>
    <mergeCell ref="C2:E2"/>
    <mergeCell ref="F2:F3"/>
    <mergeCell ref="G2:K2"/>
    <mergeCell ref="B3:D3"/>
    <mergeCell ref="P3:Q3"/>
    <mergeCell ref="B12:D12"/>
    <mergeCell ref="B4:D4"/>
    <mergeCell ref="B9:D9"/>
    <mergeCell ref="A1:B1"/>
    <mergeCell ref="C1:K1"/>
    <mergeCell ref="P7:P8"/>
    <mergeCell ref="B10:D10"/>
    <mergeCell ref="B5:C6"/>
    <mergeCell ref="B7:C8"/>
    <mergeCell ref="B11:D11"/>
  </mergeCells>
  <phoneticPr fontId="3"/>
  <dataValidations count="6">
    <dataValidation type="whole" imeMode="off" operator="greaterThanOrEqual" allowBlank="1" showInputMessage="1" showErrorMessage="1" sqref="F2:K65536 M3:M65536" xr:uid="{00000000-0002-0000-0400-000000000000}">
      <formula1>1</formula1>
    </dataValidation>
    <dataValidation type="list" imeMode="on" allowBlank="1" showInputMessage="1" showErrorMessage="1" sqref="N4:N65536" xr:uid="{00000000-0002-0000-0400-000001000000}">
      <formula1>INDIRECT($S$1,FALSE)</formula1>
    </dataValidation>
    <dataValidation type="list" allowBlank="1" showInputMessage="1" showErrorMessage="1" sqref="O4:O65536" xr:uid="{00000000-0002-0000-0400-000002000000}">
      <formula1>INDIRECT($S$2,FALSE)</formula1>
    </dataValidation>
    <dataValidation type="list" allowBlank="1" showInputMessage="1" showErrorMessage="1" sqref="L4:L65536" xr:uid="{00000000-0002-0000-0400-000003000000}">
      <formula1>INDIRECT($R$1,FALSE)</formula1>
    </dataValidation>
    <dataValidation imeMode="on" allowBlank="1" showInputMessage="1" showErrorMessage="1" sqref="M1:Q2 B1:B4 C17:D65536 C1:K1 C3:D3 B16:B65536 B12 Q4:Q65536 P4:P7 P9:P65536" xr:uid="{00000000-0002-0000-0400-000004000000}"/>
    <dataValidation imeMode="off" allowBlank="1" showInputMessage="1" showErrorMessage="1" sqref="A1:A1048576 E3:E65536" xr:uid="{00000000-0002-0000-0400-000005000000}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S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" sqref="A4"/>
    </sheetView>
  </sheetViews>
  <sheetFormatPr defaultColWidth="15.625" defaultRowHeight="11.2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11" width="2.625" style="14" customWidth="1"/>
    <col min="12" max="12" width="8.75" style="18" customWidth="1"/>
    <col min="13" max="13" width="5.625" style="14" customWidth="1"/>
    <col min="14" max="14" width="5.375" style="14" customWidth="1"/>
    <col min="15" max="15" width="5.5" style="14" customWidth="1"/>
    <col min="16" max="16" width="25.75" style="15" customWidth="1"/>
    <col min="17" max="17" width="26.625" style="15" customWidth="1"/>
    <col min="18" max="16384" width="15.625" style="16"/>
  </cols>
  <sheetData>
    <row r="1" spans="1:19" s="2" customFormat="1">
      <c r="A1" s="49" t="s">
        <v>3</v>
      </c>
      <c r="B1" s="50"/>
      <c r="C1" s="37" t="s">
        <v>79</v>
      </c>
      <c r="D1" s="38"/>
      <c r="E1" s="38"/>
      <c r="F1" s="38"/>
      <c r="G1" s="38"/>
      <c r="H1" s="38"/>
      <c r="I1" s="38"/>
      <c r="J1" s="38"/>
      <c r="K1" s="39"/>
      <c r="L1" s="43" t="s">
        <v>4</v>
      </c>
      <c r="M1" s="32"/>
      <c r="N1" s="32"/>
      <c r="O1" s="32"/>
      <c r="P1" s="32"/>
      <c r="Q1" s="32"/>
      <c r="R1" s="1" t="str">
        <f>"設定!R2C1:R"&amp;COUNTA(設定!$A:$A)&amp;"C1"</f>
        <v>設定!R2C1:R12C1</v>
      </c>
      <c r="S1" s="1" t="str">
        <f>"設定!R2C10:R"&amp;COUNTA(設定!$J:$J)&amp;"C10"</f>
        <v>設定!R2C10:R4C10</v>
      </c>
    </row>
    <row r="2" spans="1:19" s="2" customFormat="1" ht="11.25" customHeight="1">
      <c r="A2" s="28" t="s">
        <v>49</v>
      </c>
      <c r="B2" s="29"/>
      <c r="C2" s="40" t="s">
        <v>80</v>
      </c>
      <c r="D2" s="41"/>
      <c r="E2" s="42"/>
      <c r="F2" s="45" t="s">
        <v>5</v>
      </c>
      <c r="G2" s="47" t="s">
        <v>47</v>
      </c>
      <c r="H2" s="47"/>
      <c r="I2" s="47"/>
      <c r="J2" s="47"/>
      <c r="K2" s="48"/>
      <c r="L2" s="44"/>
      <c r="M2" s="33"/>
      <c r="N2" s="33"/>
      <c r="O2" s="33"/>
      <c r="P2" s="33"/>
      <c r="Q2" s="33"/>
      <c r="R2" s="1"/>
      <c r="S2" s="1" t="str">
        <f>"設定!R2C13:R"&amp;COUNTA(設定!$M:$M)&amp;"C13"</f>
        <v>設定!R2C13:R4C13</v>
      </c>
    </row>
    <row r="3" spans="1:19" s="6" customFormat="1" ht="11.25" customHeight="1">
      <c r="A3" s="26" t="s">
        <v>48</v>
      </c>
      <c r="B3" s="34" t="s">
        <v>0</v>
      </c>
      <c r="C3" s="35"/>
      <c r="D3" s="36"/>
      <c r="E3" s="25" t="s">
        <v>53</v>
      </c>
      <c r="F3" s="46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 t="s">
        <v>1</v>
      </c>
      <c r="M3" s="27" t="s">
        <v>17</v>
      </c>
      <c r="N3" s="27" t="s">
        <v>18</v>
      </c>
      <c r="O3" s="27" t="s">
        <v>19</v>
      </c>
      <c r="P3" s="30" t="s">
        <v>2</v>
      </c>
      <c r="Q3" s="31"/>
    </row>
    <row r="4" spans="1:19" s="11" customFormat="1" ht="11.25" customHeight="1">
      <c r="A4" s="7">
        <v>1</v>
      </c>
      <c r="B4" s="51" t="s">
        <v>81</v>
      </c>
      <c r="C4" s="51"/>
      <c r="D4" s="13" t="s">
        <v>64</v>
      </c>
      <c r="E4" s="8" t="s">
        <v>71</v>
      </c>
      <c r="F4" s="9">
        <v>1</v>
      </c>
      <c r="G4" s="9">
        <v>2</v>
      </c>
      <c r="H4" s="9"/>
      <c r="I4" s="9"/>
      <c r="J4" s="9"/>
      <c r="K4" s="9"/>
      <c r="L4" s="17" t="s">
        <v>11</v>
      </c>
      <c r="M4" s="9">
        <v>20</v>
      </c>
      <c r="N4" s="9" t="s">
        <v>61</v>
      </c>
      <c r="O4" s="9" t="s">
        <v>29</v>
      </c>
      <c r="P4" s="10"/>
      <c r="Q4" s="10"/>
    </row>
    <row r="5" spans="1:19" s="11" customFormat="1">
      <c r="A5" s="12">
        <v>2</v>
      </c>
      <c r="B5" s="52"/>
      <c r="C5" s="52"/>
      <c r="D5" s="13" t="s">
        <v>82</v>
      </c>
      <c r="E5" s="8" t="s">
        <v>83</v>
      </c>
      <c r="F5" s="9">
        <v>2</v>
      </c>
      <c r="G5" s="9"/>
      <c r="H5" s="9"/>
      <c r="I5" s="9"/>
      <c r="J5" s="9"/>
      <c r="K5" s="9"/>
      <c r="L5" s="17" t="s">
        <v>13</v>
      </c>
      <c r="M5" s="9"/>
      <c r="N5" s="9" t="s">
        <v>61</v>
      </c>
      <c r="O5" s="9"/>
      <c r="P5" s="10"/>
      <c r="Q5" s="10"/>
    </row>
    <row r="6" spans="1:19" s="11" customFormat="1">
      <c r="A6" s="12">
        <v>3</v>
      </c>
      <c r="B6" s="52" t="s">
        <v>84</v>
      </c>
      <c r="C6" s="52"/>
      <c r="D6" s="52"/>
      <c r="E6" s="8" t="s">
        <v>85</v>
      </c>
      <c r="F6" s="9"/>
      <c r="G6" s="9"/>
      <c r="H6" s="9"/>
      <c r="I6" s="9"/>
      <c r="J6" s="9"/>
      <c r="K6" s="9"/>
      <c r="L6" s="17" t="s">
        <v>13</v>
      </c>
      <c r="M6" s="9"/>
      <c r="N6" s="9" t="s">
        <v>78</v>
      </c>
      <c r="O6" s="9"/>
      <c r="P6" s="10"/>
      <c r="Q6" s="10"/>
    </row>
    <row r="7" spans="1:19" s="11" customFormat="1">
      <c r="A7" s="12">
        <v>4</v>
      </c>
      <c r="B7" s="54" t="s">
        <v>56</v>
      </c>
      <c r="C7" s="54"/>
      <c r="D7" s="54"/>
      <c r="E7" s="11" t="s">
        <v>58</v>
      </c>
      <c r="F7" s="14"/>
      <c r="G7" s="14">
        <v>1</v>
      </c>
      <c r="H7" s="14"/>
      <c r="I7" s="14"/>
      <c r="J7" s="14"/>
      <c r="K7" s="14"/>
      <c r="L7" s="18" t="s">
        <v>11</v>
      </c>
      <c r="M7" s="14">
        <v>20</v>
      </c>
      <c r="N7" s="14" t="s">
        <v>61</v>
      </c>
      <c r="O7" s="14" t="s">
        <v>29</v>
      </c>
      <c r="P7" s="10"/>
      <c r="Q7" s="10"/>
    </row>
    <row r="8" spans="1:19" s="11" customFormat="1">
      <c r="A8" s="12">
        <v>5</v>
      </c>
      <c r="B8" s="52" t="s">
        <v>86</v>
      </c>
      <c r="C8" s="52"/>
      <c r="D8" s="52"/>
      <c r="E8" s="8" t="s">
        <v>87</v>
      </c>
      <c r="F8" s="9"/>
      <c r="G8" s="9"/>
      <c r="H8" s="9"/>
      <c r="I8" s="9"/>
      <c r="J8" s="9"/>
      <c r="K8" s="9"/>
      <c r="L8" s="17" t="s">
        <v>11</v>
      </c>
      <c r="M8" s="9">
        <v>20</v>
      </c>
      <c r="N8" s="9" t="s">
        <v>61</v>
      </c>
      <c r="O8" s="9" t="s">
        <v>29</v>
      </c>
      <c r="P8" s="10"/>
      <c r="Q8" s="10"/>
    </row>
    <row r="9" spans="1:19" s="11" customFormat="1">
      <c r="A9" s="12"/>
      <c r="B9" s="13"/>
      <c r="C9" s="13"/>
      <c r="D9" s="13"/>
      <c r="E9" s="8"/>
      <c r="F9" s="9"/>
      <c r="G9" s="9"/>
      <c r="H9" s="9"/>
      <c r="I9" s="9"/>
      <c r="J9" s="9"/>
      <c r="K9" s="9"/>
      <c r="L9" s="17"/>
      <c r="M9" s="9"/>
      <c r="N9" s="9"/>
      <c r="O9" s="9"/>
      <c r="P9" s="10"/>
      <c r="Q9" s="10"/>
    </row>
    <row r="10" spans="1:19" s="11" customFormat="1" ht="11.25" customHeight="1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17"/>
      <c r="M10" s="9"/>
      <c r="N10" s="9"/>
      <c r="O10" s="9"/>
      <c r="P10" s="10"/>
      <c r="Q10" s="10"/>
    </row>
    <row r="11" spans="1:19" s="11" customFormat="1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17"/>
      <c r="M11" s="9"/>
      <c r="N11" s="9"/>
      <c r="O11" s="9"/>
      <c r="P11" s="10"/>
      <c r="Q11" s="10"/>
    </row>
    <row r="12" spans="1:19" s="11" customFormat="1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17"/>
      <c r="M12" s="9"/>
      <c r="N12" s="9"/>
      <c r="O12" s="9"/>
      <c r="P12" s="10"/>
      <c r="Q12" s="10"/>
    </row>
    <row r="13" spans="1:19" s="11" customFormat="1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17"/>
      <c r="M13" s="9"/>
      <c r="N13" s="9"/>
      <c r="O13" s="9"/>
      <c r="P13" s="10"/>
      <c r="Q13" s="10"/>
    </row>
    <row r="14" spans="1:19" s="11" customFormat="1">
      <c r="A14" s="12"/>
      <c r="B14" s="13"/>
      <c r="C14" s="18"/>
      <c r="D14" s="18"/>
      <c r="F14" s="14"/>
      <c r="G14" s="14"/>
      <c r="H14" s="14"/>
      <c r="I14" s="14"/>
      <c r="J14" s="14"/>
      <c r="K14" s="14"/>
      <c r="L14" s="18"/>
      <c r="M14" s="14"/>
      <c r="N14" s="14"/>
      <c r="O14" s="14"/>
      <c r="P14" s="15"/>
      <c r="Q14" s="15"/>
    </row>
    <row r="15" spans="1:19" s="11" customFormat="1">
      <c r="A15" s="12"/>
      <c r="B15" s="13"/>
      <c r="C15" s="18"/>
      <c r="D15" s="18"/>
      <c r="F15" s="14"/>
      <c r="G15" s="14"/>
      <c r="H15" s="14"/>
      <c r="I15" s="14"/>
      <c r="J15" s="14"/>
      <c r="K15" s="14"/>
      <c r="L15" s="18"/>
      <c r="M15" s="14"/>
      <c r="N15" s="14"/>
      <c r="O15" s="14"/>
      <c r="P15" s="15"/>
      <c r="Q15" s="15"/>
    </row>
    <row r="16" spans="1:19" s="11" customFormat="1">
      <c r="A16" s="12"/>
      <c r="B16" s="13"/>
      <c r="C16" s="18"/>
      <c r="D16" s="18"/>
      <c r="F16" s="14"/>
      <c r="G16" s="14"/>
      <c r="H16" s="14"/>
      <c r="I16" s="14"/>
      <c r="J16" s="14"/>
      <c r="K16" s="14"/>
      <c r="L16" s="18"/>
      <c r="M16" s="14"/>
      <c r="N16" s="14"/>
      <c r="O16" s="14"/>
      <c r="P16" s="15"/>
      <c r="Q16" s="15"/>
    </row>
    <row r="17" spans="2:17" s="11" customFormat="1">
      <c r="B17" s="18"/>
      <c r="C17" s="18"/>
      <c r="D17" s="18"/>
      <c r="F17" s="14"/>
      <c r="G17" s="14"/>
      <c r="H17" s="14"/>
      <c r="I17" s="14"/>
      <c r="J17" s="14"/>
      <c r="K17" s="14"/>
      <c r="L17" s="18"/>
      <c r="M17" s="14"/>
      <c r="N17" s="14"/>
      <c r="O17" s="14"/>
      <c r="P17" s="15"/>
      <c r="Q17" s="15"/>
    </row>
    <row r="18" spans="2:17" s="11" customFormat="1">
      <c r="B18" s="18"/>
      <c r="C18" s="18"/>
      <c r="D18" s="18"/>
      <c r="F18" s="14"/>
      <c r="G18" s="14"/>
      <c r="H18" s="14"/>
      <c r="I18" s="14"/>
      <c r="J18" s="14"/>
      <c r="K18" s="14"/>
      <c r="L18" s="18"/>
      <c r="M18" s="14"/>
      <c r="N18" s="14"/>
      <c r="O18" s="14"/>
      <c r="P18" s="15"/>
      <c r="Q18" s="15"/>
    </row>
    <row r="19" spans="2:17" s="11" customFormat="1" ht="11.25" customHeight="1">
      <c r="B19" s="18"/>
      <c r="C19" s="18"/>
      <c r="D19" s="18"/>
      <c r="F19" s="14"/>
      <c r="G19" s="14"/>
      <c r="H19" s="14"/>
      <c r="I19" s="14"/>
      <c r="J19" s="14"/>
      <c r="K19" s="14"/>
      <c r="L19" s="18"/>
      <c r="M19" s="14"/>
      <c r="N19" s="14"/>
      <c r="O19" s="14"/>
      <c r="P19" s="15"/>
      <c r="Q19" s="15"/>
    </row>
    <row r="20" spans="2:17" s="11" customFormat="1">
      <c r="B20" s="18"/>
      <c r="C20" s="18"/>
      <c r="D20" s="18"/>
      <c r="F20" s="14"/>
      <c r="G20" s="14"/>
      <c r="H20" s="14"/>
      <c r="I20" s="14"/>
      <c r="J20" s="14"/>
      <c r="K20" s="14"/>
      <c r="L20" s="18"/>
      <c r="M20" s="14"/>
      <c r="N20" s="14"/>
      <c r="O20" s="14"/>
      <c r="P20" s="15"/>
      <c r="Q20" s="15"/>
    </row>
    <row r="21" spans="2:17" s="11" customFormat="1">
      <c r="B21" s="18"/>
      <c r="C21" s="18"/>
      <c r="D21" s="18"/>
      <c r="F21" s="14"/>
      <c r="G21" s="14"/>
      <c r="H21" s="14"/>
      <c r="I21" s="14"/>
      <c r="J21" s="14"/>
      <c r="K21" s="14"/>
      <c r="L21" s="18"/>
      <c r="M21" s="14"/>
      <c r="N21" s="14"/>
      <c r="O21" s="14"/>
      <c r="P21" s="15"/>
      <c r="Q21" s="15"/>
    </row>
    <row r="22" spans="2:17">
      <c r="B22" s="13"/>
      <c r="C22" s="13"/>
      <c r="D22" s="13"/>
      <c r="E22" s="8"/>
      <c r="F22" s="9"/>
      <c r="G22" s="9"/>
      <c r="H22" s="9"/>
      <c r="I22" s="9"/>
      <c r="J22" s="9"/>
      <c r="K22" s="9"/>
      <c r="L22" s="17"/>
      <c r="M22" s="9"/>
      <c r="N22" s="9"/>
      <c r="O22" s="9"/>
    </row>
    <row r="23" spans="2:17">
      <c r="L23" s="17"/>
    </row>
  </sheetData>
  <mergeCells count="14">
    <mergeCell ref="L1:L2"/>
    <mergeCell ref="M1:Q2"/>
    <mergeCell ref="A2:B2"/>
    <mergeCell ref="C2:E2"/>
    <mergeCell ref="F2:F3"/>
    <mergeCell ref="G2:K2"/>
    <mergeCell ref="B3:D3"/>
    <mergeCell ref="P3:Q3"/>
    <mergeCell ref="B4:C5"/>
    <mergeCell ref="B6:D6"/>
    <mergeCell ref="B7:D7"/>
    <mergeCell ref="B8:D8"/>
    <mergeCell ref="A1:B1"/>
    <mergeCell ref="C1:K1"/>
  </mergeCells>
  <phoneticPr fontId="3"/>
  <dataValidations count="6">
    <dataValidation type="whole" imeMode="off" operator="greaterThanOrEqual" allowBlank="1" showInputMessage="1" showErrorMessage="1" sqref="M3:M65536 F2:K65536" xr:uid="{00000000-0002-0000-0500-000000000000}">
      <formula1>1</formula1>
    </dataValidation>
    <dataValidation type="list" imeMode="on" allowBlank="1" showInputMessage="1" showErrorMessage="1" sqref="N4:N65536" xr:uid="{00000000-0002-0000-0500-000001000000}">
      <formula1>INDIRECT($S$1,FALSE)</formula1>
    </dataValidation>
    <dataValidation type="list" allowBlank="1" showInputMessage="1" showErrorMessage="1" sqref="O4:O65536" xr:uid="{00000000-0002-0000-0500-000002000000}">
      <formula1>INDIRECT($S$2,FALSE)</formula1>
    </dataValidation>
    <dataValidation type="list" allowBlank="1" showInputMessage="1" showErrorMessage="1" sqref="L4:L65536" xr:uid="{00000000-0002-0000-0500-000003000000}">
      <formula1>INDIRECT($R$1,FALSE)</formula1>
    </dataValidation>
    <dataValidation imeMode="on" allowBlank="1" showInputMessage="1" showErrorMessage="1" sqref="M1:Q2 B19 B1:B4 P4:Q65536 C1:K1 C3 D3:D5 B23:D65536 B20:D21 B7 B9:D18" xr:uid="{00000000-0002-0000-0500-000004000000}"/>
    <dataValidation imeMode="off" allowBlank="1" showInputMessage="1" showErrorMessage="1" sqref="A1:A1048576 E3:E65536" xr:uid="{00000000-0002-0000-0500-000005000000}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10</vt:i4>
      </vt:variant>
    </vt:vector>
  </HeadingPairs>
  <TitlesOfParts>
    <vt:vector size="16" baseType="lpstr">
      <vt:lpstr>設定</vt:lpstr>
      <vt:lpstr>原紙</vt:lpstr>
      <vt:lpstr>MST_BUSYO</vt:lpstr>
      <vt:lpstr>MST_YAKU</vt:lpstr>
      <vt:lpstr>MST_SYAIN</vt:lpstr>
      <vt:lpstr>MST_HAIZOKU</vt:lpstr>
      <vt:lpstr>MST_BUSYO!Print_Area</vt:lpstr>
      <vt:lpstr>MST_HAIZOKU!Print_Area</vt:lpstr>
      <vt:lpstr>MST_SYAIN!Print_Area</vt:lpstr>
      <vt:lpstr>MST_YAKU!Print_Area</vt:lpstr>
      <vt:lpstr>原紙!Print_Area</vt:lpstr>
      <vt:lpstr>MST_BUSYO!Print_Titles</vt:lpstr>
      <vt:lpstr>MST_HAIZOKU!Print_Titles</vt:lpstr>
      <vt:lpstr>MST_SYAIN!Print_Titles</vt:lpstr>
      <vt:lpstr>MST_YAKU!Print_Titles</vt:lpstr>
      <vt:lpstr>原紙!Print_Titles</vt:lpstr>
    </vt:vector>
  </TitlesOfParts>
  <Company>自宅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MDBテーブル定義</dc:title>
  <dc:subject>MDBのテーブル作成、テーブル定義の取得</dc:subject>
  <dc:creator>井上治</dc:creator>
  <cp:lastModifiedBy>井上治</cp:lastModifiedBy>
  <cp:lastPrinted>2006-04-15T13:06:38Z</cp:lastPrinted>
  <dcterms:created xsi:type="dcterms:W3CDTF">2005-11-25T12:34:15Z</dcterms:created>
  <dcterms:modified xsi:type="dcterms:W3CDTF">2021-10-16T09:57:24Z</dcterms:modified>
  <cp:category>MDB,データベース,テーブル,DAO</cp:category>
</cp:coreProperties>
</file>